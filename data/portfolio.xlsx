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uibuição de aporte" sheetId="1" r:id="rId5"/>
    <sheet state="visible" name="RI, RV e RF" sheetId="2" r:id="rId6"/>
    <sheet state="visible" name="FII" sheetId="3" r:id="rId7"/>
    <sheet state="visible" name="Ações" sheetId="4" r:id="rId8"/>
    <sheet state="visible" name="Exterior" sheetId="5" r:id="rId9"/>
    <sheet state="visible" name="Balanceamentos" sheetId="6" r:id="rId10"/>
  </sheets>
  <definedNames/>
  <calcPr/>
</workbook>
</file>

<file path=xl/sharedStrings.xml><?xml version="1.0" encoding="utf-8"?>
<sst xmlns="http://schemas.openxmlformats.org/spreadsheetml/2006/main" count="1543" uniqueCount="230">
  <si>
    <t>Aporte total</t>
  </si>
  <si>
    <t>Tipo de ativo</t>
  </si>
  <si>
    <t>Porcentagem desejada</t>
  </si>
  <si>
    <t>Proporção ajustada</t>
  </si>
  <si>
    <t>Diferença</t>
  </si>
  <si>
    <t>Condição</t>
  </si>
  <si>
    <t>% Atual</t>
  </si>
  <si>
    <t>Valor atual</t>
  </si>
  <si>
    <t>Aporte por ativo</t>
  </si>
  <si>
    <t>Valor após aportes</t>
  </si>
  <si>
    <t>Reserva de investimento</t>
  </si>
  <si>
    <t>Reserva de valor</t>
  </si>
  <si>
    <t>Renda fixa BR</t>
  </si>
  <si>
    <t>FIIs</t>
  </si>
  <si>
    <t>Ações BR</t>
  </si>
  <si>
    <t>Ações US</t>
  </si>
  <si>
    <t>REITs</t>
  </si>
  <si>
    <t>Renda fixa no exterior</t>
  </si>
  <si>
    <t xml:space="preserve">Ações Europa </t>
  </si>
  <si>
    <t xml:space="preserve">Ações Asia </t>
  </si>
  <si>
    <t>Soma:</t>
  </si>
  <si>
    <t>Aporte</t>
  </si>
  <si>
    <t>Ativo</t>
  </si>
  <si>
    <t>Setor</t>
  </si>
  <si>
    <t>Quantidade</t>
  </si>
  <si>
    <t>Cotação</t>
  </si>
  <si>
    <t>Saldo</t>
  </si>
  <si>
    <t>%Carteira</t>
  </si>
  <si>
    <t>%C/aporte</t>
  </si>
  <si>
    <t>% Ideal</t>
  </si>
  <si>
    <t>Bal</t>
  </si>
  <si>
    <t>Aporte:</t>
  </si>
  <si>
    <t>Aporte ideal por ativo</t>
  </si>
  <si>
    <t>% após aport</t>
  </si>
  <si>
    <t>ROMP</t>
  </si>
  <si>
    <t>Grupo 1</t>
  </si>
  <si>
    <t>Grupo 0</t>
  </si>
  <si>
    <t>Tesouro IPCA</t>
  </si>
  <si>
    <t>Grupo 3</t>
  </si>
  <si>
    <t>CDB, LCA, ETC</t>
  </si>
  <si>
    <t>BTC</t>
  </si>
  <si>
    <t>Grupo 2</t>
  </si>
  <si>
    <t>TOTAL</t>
  </si>
  <si>
    <t>G1</t>
  </si>
  <si>
    <t>Reserva Inv</t>
  </si>
  <si>
    <t>G2</t>
  </si>
  <si>
    <t>Reserva Val</t>
  </si>
  <si>
    <t>G3</t>
  </si>
  <si>
    <t>Renda fixa</t>
  </si>
  <si>
    <t>G4</t>
  </si>
  <si>
    <t>G5</t>
  </si>
  <si>
    <t>Fundos</t>
  </si>
  <si>
    <t>Vou aportar?</t>
  </si>
  <si>
    <t>Valores total</t>
  </si>
  <si>
    <t>Ultimos prov.</t>
  </si>
  <si>
    <t>Somat prov.</t>
  </si>
  <si>
    <t>BTLG11</t>
  </si>
  <si>
    <t>Logistica</t>
  </si>
  <si>
    <t>Sim</t>
  </si>
  <si>
    <t>XPLG11</t>
  </si>
  <si>
    <t>HGLG11</t>
  </si>
  <si>
    <t>GARE11</t>
  </si>
  <si>
    <t>GGRC11</t>
  </si>
  <si>
    <t>HGBS11</t>
  </si>
  <si>
    <t>Shopping</t>
  </si>
  <si>
    <t>HSML11</t>
  </si>
  <si>
    <t>HGRU11</t>
  </si>
  <si>
    <t>Varejo</t>
  </si>
  <si>
    <t>SEQR11</t>
  </si>
  <si>
    <t>TRXF11</t>
  </si>
  <si>
    <t>RZAT11</t>
  </si>
  <si>
    <t>KNCR11</t>
  </si>
  <si>
    <t>Papel</t>
  </si>
  <si>
    <t>KNSC11</t>
  </si>
  <si>
    <t>MXRF11</t>
  </si>
  <si>
    <t>PCIP11</t>
  </si>
  <si>
    <t>CPTI11</t>
  </si>
  <si>
    <t>Infra</t>
  </si>
  <si>
    <t>JURO11</t>
  </si>
  <si>
    <t>RZTR11</t>
  </si>
  <si>
    <t>Agro</t>
  </si>
  <si>
    <t>SNAG11</t>
  </si>
  <si>
    <t>Fiagro</t>
  </si>
  <si>
    <t>SNEL11</t>
  </si>
  <si>
    <t>Energia</t>
  </si>
  <si>
    <t>Não</t>
  </si>
  <si>
    <t>A aportar:</t>
  </si>
  <si>
    <t>Soma</t>
  </si>
  <si>
    <t>Ação</t>
  </si>
  <si>
    <t>VALE3</t>
  </si>
  <si>
    <t>BBAS3</t>
  </si>
  <si>
    <t>PETR4</t>
  </si>
  <si>
    <t>CSMG3</t>
  </si>
  <si>
    <t>CMIG4</t>
  </si>
  <si>
    <t>ITSA4</t>
  </si>
  <si>
    <t>ISAE3</t>
  </si>
  <si>
    <t>UNIP6</t>
  </si>
  <si>
    <t>BBSE3</t>
  </si>
  <si>
    <t>TAEE11</t>
  </si>
  <si>
    <t>ABCB4</t>
  </si>
  <si>
    <t>CXSE3</t>
  </si>
  <si>
    <t>SAPR4</t>
  </si>
  <si>
    <t>KLBN4</t>
  </si>
  <si>
    <t>GOAU3</t>
  </si>
  <si>
    <t>CMIG3</t>
  </si>
  <si>
    <t>PRIO3</t>
  </si>
  <si>
    <t>VBBR3</t>
  </si>
  <si>
    <t>KLBN3</t>
  </si>
  <si>
    <t>RANI3</t>
  </si>
  <si>
    <t>DEXP3</t>
  </si>
  <si>
    <t>Grupo 4</t>
  </si>
  <si>
    <t>GGBR3</t>
  </si>
  <si>
    <t>SAPR3</t>
  </si>
  <si>
    <t>SBSP3</t>
  </si>
  <si>
    <t>ALUP3</t>
  </si>
  <si>
    <t>TAEE3</t>
  </si>
  <si>
    <t>ENGI3</t>
  </si>
  <si>
    <t>CLSC3</t>
  </si>
  <si>
    <t>AXIA3</t>
  </si>
  <si>
    <t>TOTS3</t>
  </si>
  <si>
    <t>BMOB3</t>
  </si>
  <si>
    <t>TIMS3</t>
  </si>
  <si>
    <t>INTB3</t>
  </si>
  <si>
    <t>CMIN3</t>
  </si>
  <si>
    <t>ARML3</t>
  </si>
  <si>
    <t>VLID3</t>
  </si>
  <si>
    <t>GGPS3</t>
  </si>
  <si>
    <t>WEGE3</t>
  </si>
  <si>
    <t>KEPL3</t>
  </si>
  <si>
    <t>JSLG3</t>
  </si>
  <si>
    <t>TGMA3</t>
  </si>
  <si>
    <t>ECOR3</t>
  </si>
  <si>
    <t>MOTV3</t>
  </si>
  <si>
    <t>CSUD3</t>
  </si>
  <si>
    <t>POMO3</t>
  </si>
  <si>
    <t>FRAS3</t>
  </si>
  <si>
    <t>VAMO3</t>
  </si>
  <si>
    <t>RADL3</t>
  </si>
  <si>
    <t>PGMN3</t>
  </si>
  <si>
    <t>PFRM3</t>
  </si>
  <si>
    <t>FLRY3</t>
  </si>
  <si>
    <t>ODPV3</t>
  </si>
  <si>
    <t>RDOR3</t>
  </si>
  <si>
    <t>BLAU3</t>
  </si>
  <si>
    <t>OFSA3</t>
  </si>
  <si>
    <t>AGRO3</t>
  </si>
  <si>
    <t>SOJA3</t>
  </si>
  <si>
    <t>SMTO3</t>
  </si>
  <si>
    <t>MDIA3</t>
  </si>
  <si>
    <t>ABEV3</t>
  </si>
  <si>
    <t>GMAT3</t>
  </si>
  <si>
    <t>GRND3</t>
  </si>
  <si>
    <t>VULC3</t>
  </si>
  <si>
    <t>VIVA3</t>
  </si>
  <si>
    <t>LEVE3</t>
  </si>
  <si>
    <t>CGRA3</t>
  </si>
  <si>
    <t>LREN3</t>
  </si>
  <si>
    <t>JHSF3</t>
  </si>
  <si>
    <t>LAVV3</t>
  </si>
  <si>
    <t>CURY3</t>
  </si>
  <si>
    <t>EZTC3</t>
  </si>
  <si>
    <t>DIRR3</t>
  </si>
  <si>
    <t>SYNE3</t>
  </si>
  <si>
    <t>LOGG3</t>
  </si>
  <si>
    <t>PLPL3</t>
  </si>
  <si>
    <t>ITSA3</t>
  </si>
  <si>
    <t>BRAP3</t>
  </si>
  <si>
    <t>ITUB3</t>
  </si>
  <si>
    <t>BBDC3</t>
  </si>
  <si>
    <t>SANB3</t>
  </si>
  <si>
    <t>BRSR3</t>
  </si>
  <si>
    <t>BEES3</t>
  </si>
  <si>
    <t>BPAC3</t>
  </si>
  <si>
    <t>BGIP3</t>
  </si>
  <si>
    <t>PSSA3</t>
  </si>
  <si>
    <t>WIZC3</t>
  </si>
  <si>
    <t>B3SA3</t>
  </si>
  <si>
    <t>TTEN3</t>
  </si>
  <si>
    <t>CAML3</t>
  </si>
  <si>
    <t>Cotação Brl</t>
  </si>
  <si>
    <t>VOO</t>
  </si>
  <si>
    <t>QQQM</t>
  </si>
  <si>
    <t>SCHD</t>
  </si>
  <si>
    <t>BND</t>
  </si>
  <si>
    <t>IAU</t>
  </si>
  <si>
    <t>SCHP</t>
  </si>
  <si>
    <t>FALN</t>
  </si>
  <si>
    <t>HAUZ</t>
  </si>
  <si>
    <t>VNQ</t>
  </si>
  <si>
    <t>IVLU</t>
  </si>
  <si>
    <t>SPEU</t>
  </si>
  <si>
    <t>FLCH</t>
  </si>
  <si>
    <t>Grupo 5</t>
  </si>
  <si>
    <t>FLKR</t>
  </si>
  <si>
    <t>VPL</t>
  </si>
  <si>
    <t>FLTW</t>
  </si>
  <si>
    <t>FLJH</t>
  </si>
  <si>
    <t>Renda fixa EUA</t>
  </si>
  <si>
    <t>Ações europa</t>
  </si>
  <si>
    <t>Ações asia</t>
  </si>
  <si>
    <t>Ações</t>
  </si>
  <si>
    <t>CVBI11</t>
  </si>
  <si>
    <t>Pergunta para balanceamento das ações</t>
  </si>
  <si>
    <t>Nenhum ativo concentra a renda em mais que 20%?</t>
  </si>
  <si>
    <t>SIM</t>
  </si>
  <si>
    <t>NÃO</t>
  </si>
  <si>
    <t>Nenhum credor concentra a renda em mais que 20%?</t>
  </si>
  <si>
    <t>Tem 05 ou mais imóveis?</t>
  </si>
  <si>
    <t>Tenho menos de 03 fundos dessa gestão na carteira?</t>
  </si>
  <si>
    <t>Tem liquidez diária maior que 1 milhão?</t>
  </si>
  <si>
    <t>Tem mais de 05 anos de mercado?</t>
  </si>
  <si>
    <t>Tem distribuição de rendimentos consistente?</t>
  </si>
  <si>
    <t>Os imoveis/ativos tem baixo risco associado? (localidade/credor/taxas)</t>
  </si>
  <si>
    <t>P/VP está menor que 01?</t>
  </si>
  <si>
    <t>O Dividend Yield está dentro ou acima da média para fundos do mesmo tipo?</t>
  </si>
  <si>
    <t>Total</t>
  </si>
  <si>
    <t>ELET3</t>
  </si>
  <si>
    <t>PORT3</t>
  </si>
  <si>
    <t>JBSS3</t>
  </si>
  <si>
    <t>Tem mais de 30 anos de mercado? (fundação)</t>
  </si>
  <si>
    <t>É lider nacional ou mundial no setor em que atua?</t>
  </si>
  <si>
    <t>O setor em que a empresa atua tem mais de 100 anos?</t>
  </si>
  <si>
    <t>A empresa é uma blue chip? (&gt;R$ 10 bilhões de valor de mercado)</t>
  </si>
  <si>
    <t>ROE históricamente maior que 5%</t>
  </si>
  <si>
    <t>Tem crescimento consistente no patrimonio nos últimos 5 anos?</t>
  </si>
  <si>
    <t>Tem histórico de distribuição de dividendos?</t>
  </si>
  <si>
    <t>A empresa investe amplamente em pesquisa e inovação?</t>
  </si>
  <si>
    <t>Apresenta lucros consistentes?</t>
  </si>
  <si>
    <t>Tem liquidez maior que R$ 2 milhões/dia?</t>
  </si>
  <si>
    <t>A empresa tem uma boa gestão?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</si>
</sst>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[$$]#,##0.00"/>
    <numFmt numFmtId="166" formatCode="[$R$]#,##0.00"/>
    <numFmt numFmtId="167" formatCode="mmm/yyyy"/>
    <numFmt numFmtId="168" formatCode="mmmm yyyy"/>
    <numFmt numFmtId="169" formatCode="0.0"/>
  </numFmts>
  <fonts count="25">
    <font>
      <sz val="10.0"/>
      <color rgb="FF000000"/>
      <name val="Arial"/>
      <scheme val="minor"/>
    </font>
    <font>
      <b/>
      <color rgb="FF666666"/>
      <name val="Arial"/>
      <scheme val="minor"/>
    </font>
    <font>
      <color rgb="FF666666"/>
      <name val="Arial"/>
      <scheme val="minor"/>
    </font>
    <font>
      <b/>
      <color theme="1"/>
      <name val="Arial"/>
      <scheme val="minor"/>
    </font>
    <font>
      <b/>
      <color rgb="FF38761D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B7B7B7"/>
      <name val="Arial"/>
      <scheme val="minor"/>
    </font>
    <font>
      <b/>
      <sz val="10.0"/>
      <color rgb="FF000000"/>
      <name val="Arial"/>
      <scheme val="minor"/>
    </font>
    <font>
      <color rgb="FFFFFFFF"/>
      <name val="Arial"/>
      <scheme val="minor"/>
    </font>
    <font>
      <b/>
      <color rgb="FF6FA8DC"/>
      <name val="Arial"/>
      <scheme val="minor"/>
    </font>
    <font>
      <color rgb="FF6D9EEB"/>
      <name val="Arial"/>
      <scheme val="minor"/>
    </font>
    <font>
      <color rgb="FFFF0000"/>
      <name val="Arial"/>
      <scheme val="minor"/>
    </font>
    <font>
      <b/>
      <color rgb="FF6D9EEB"/>
      <name val="Arial"/>
      <scheme val="minor"/>
    </font>
    <font>
      <sz val="10.0"/>
      <color theme="1"/>
      <name val="Arial"/>
      <scheme val="minor"/>
    </font>
    <font>
      <color rgb="FF6AA84F"/>
      <name val="Arial"/>
      <scheme val="minor"/>
    </font>
    <font>
      <color rgb="FFFF0000"/>
      <name val="Arial"/>
    </font>
    <font>
      <color rgb="FF212121"/>
      <name val="Arial"/>
      <scheme val="minor"/>
    </font>
    <font>
      <color rgb="FF212121"/>
      <name val="Arial"/>
    </font>
    <font>
      <color theme="1"/>
      <name val="Arial"/>
    </font>
    <font>
      <color rgb="FF6FA8DC"/>
      <name val="Arial"/>
      <scheme val="minor"/>
    </font>
    <font>
      <color rgb="FFCCCCCC"/>
      <name val="Arial"/>
    </font>
    <font>
      <color rgb="FFCCCCCC"/>
      <name val="Arial"/>
      <scheme val="minor"/>
    </font>
    <font>
      <color rgb="FFFFFFFF"/>
      <name val="Arial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38761D"/>
        <bgColor rgb="FF38761D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164" xfId="0" applyAlignment="1" applyBorder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0" fillId="3" fontId="6" numFmtId="0" xfId="0" applyFont="1"/>
    <xf borderId="0" fillId="4" fontId="3" numFmtId="0" xfId="0" applyAlignment="1" applyFill="1" applyFont="1">
      <alignment readingOrder="0"/>
    </xf>
    <xf borderId="0" fillId="4" fontId="6" numFmtId="10" xfId="0" applyAlignment="1" applyFont="1" applyNumberFormat="1">
      <alignment readingOrder="0"/>
    </xf>
    <xf borderId="0" fillId="4" fontId="7" numFmtId="10" xfId="0" applyFont="1" applyNumberFormat="1"/>
    <xf borderId="0" fillId="4" fontId="7" numFmtId="164" xfId="0" applyAlignment="1" applyFont="1" applyNumberFormat="1">
      <alignment horizontal="right"/>
    </xf>
    <xf borderId="0" fillId="4" fontId="7" numFmtId="49" xfId="0" applyAlignment="1" applyFont="1" applyNumberFormat="1">
      <alignment horizontal="right"/>
    </xf>
    <xf borderId="0" fillId="4" fontId="6" numFmtId="10" xfId="0" applyFont="1" applyNumberFormat="1"/>
    <xf borderId="0" fillId="4" fontId="6" numFmtId="164" xfId="0" applyAlignment="1" applyFont="1" applyNumberFormat="1">
      <alignment readingOrder="0"/>
    </xf>
    <xf borderId="0" fillId="4" fontId="8" numFmtId="164" xfId="0" applyAlignment="1" applyFont="1" applyNumberFormat="1">
      <alignment readingOrder="0"/>
    </xf>
    <xf borderId="0" fillId="4" fontId="6" numFmtId="164" xfId="0" applyFont="1" applyNumberFormat="1"/>
    <xf borderId="0" fillId="5" fontId="3" numFmtId="10" xfId="0" applyFill="1" applyFont="1" applyNumberFormat="1"/>
    <xf borderId="0" fillId="6" fontId="3" numFmtId="0" xfId="0" applyAlignment="1" applyFill="1" applyFont="1">
      <alignment readingOrder="0"/>
    </xf>
    <xf borderId="0" fillId="6" fontId="6" numFmtId="10" xfId="0" applyAlignment="1" applyFont="1" applyNumberFormat="1">
      <alignment readingOrder="0"/>
    </xf>
    <xf borderId="0" fillId="6" fontId="9" numFmtId="10" xfId="0" applyFont="1" applyNumberFormat="1"/>
    <xf borderId="0" fillId="6" fontId="9" numFmtId="164" xfId="0" applyAlignment="1" applyFont="1" applyNumberFormat="1">
      <alignment horizontal="right"/>
    </xf>
    <xf borderId="0" fillId="6" fontId="9" numFmtId="49" xfId="0" applyAlignment="1" applyFont="1" applyNumberFormat="1">
      <alignment horizontal="right"/>
    </xf>
    <xf borderId="0" fillId="6" fontId="6" numFmtId="10" xfId="0" applyFont="1" applyNumberFormat="1"/>
    <xf borderId="0" fillId="6" fontId="6" numFmtId="164" xfId="0" applyAlignment="1" applyFont="1" applyNumberFormat="1">
      <alignment readingOrder="0"/>
    </xf>
    <xf borderId="0" fillId="6" fontId="8" numFmtId="164" xfId="0" applyAlignment="1" applyFont="1" applyNumberFormat="1">
      <alignment readingOrder="0"/>
    </xf>
    <xf borderId="0" fillId="6" fontId="6" numFmtId="164" xfId="0" applyFont="1" applyNumberFormat="1"/>
    <xf borderId="0" fillId="5" fontId="3" numFmtId="0" xfId="0" applyAlignment="1" applyFont="1">
      <alignment readingOrder="0"/>
    </xf>
    <xf borderId="0" fillId="5" fontId="10" numFmtId="10" xfId="0" applyFont="1" applyNumberFormat="1"/>
    <xf borderId="0" fillId="5" fontId="10" numFmtId="164" xfId="0" applyAlignment="1" applyFont="1" applyNumberFormat="1">
      <alignment horizontal="right"/>
    </xf>
    <xf borderId="0" fillId="5" fontId="3" numFmtId="49" xfId="0" applyAlignment="1" applyFont="1" applyNumberFormat="1">
      <alignment horizontal="right"/>
    </xf>
    <xf borderId="0" fillId="5" fontId="3" numFmtId="164" xfId="0" applyFont="1" applyNumberFormat="1"/>
    <xf borderId="0" fillId="5" fontId="6" numFmtId="0" xfId="0" applyFont="1"/>
    <xf borderId="0" fillId="5" fontId="11" numFmtId="0" xfId="0" applyFont="1"/>
    <xf borderId="0" fillId="5" fontId="3" numFmtId="164" xfId="0" applyAlignment="1" applyFont="1" applyNumberFormat="1">
      <alignment readingOrder="0"/>
    </xf>
    <xf borderId="0" fillId="5" fontId="11" numFmtId="164" xfId="0" applyFont="1" applyNumberFormat="1"/>
    <xf borderId="0" fillId="5" fontId="12" numFmtId="0" xfId="0" applyFont="1"/>
    <xf borderId="0" fillId="5" fontId="13" numFmtId="165" xfId="0" applyAlignment="1" applyFont="1" applyNumberFormat="1">
      <alignment readingOrder="0"/>
    </xf>
    <xf borderId="0" fillId="5" fontId="13" numFmtId="165" xfId="0" applyFont="1" applyNumberFormat="1"/>
    <xf borderId="0" fillId="5" fontId="13" numFmtId="164" xfId="0" applyFont="1" applyNumberFormat="1"/>
    <xf borderId="0" fillId="5" fontId="13" numFmtId="165" xfId="0" applyFont="1" applyNumberFormat="1"/>
    <xf borderId="0" fillId="5" fontId="3" numFmtId="165" xfId="0" applyFont="1" applyNumberFormat="1"/>
    <xf borderId="0" fillId="5" fontId="5" numFmtId="164" xfId="0" applyFont="1" applyNumberFormat="1"/>
    <xf borderId="0" fillId="7" fontId="14" numFmtId="0" xfId="0" applyAlignment="1" applyFill="1" applyFont="1">
      <alignment horizontal="center" readingOrder="0"/>
    </xf>
    <xf borderId="0" fillId="7" fontId="6" numFmtId="0" xfId="0" applyAlignment="1" applyFont="1">
      <alignment horizontal="center" readingOrder="0"/>
    </xf>
    <xf borderId="0" fillId="7" fontId="6" numFmtId="0" xfId="0" applyAlignment="1" applyFont="1">
      <alignment readingOrder="0"/>
    </xf>
    <xf borderId="0" fillId="7" fontId="15" numFmtId="0" xfId="0" applyAlignment="1" applyFont="1">
      <alignment readingOrder="0"/>
    </xf>
    <xf borderId="0" fillId="7" fontId="6" numFmtId="164" xfId="0" applyAlignment="1" applyFont="1" applyNumberFormat="1">
      <alignment readingOrder="0"/>
    </xf>
    <xf borderId="0" fillId="8" fontId="6" numFmtId="0" xfId="0" applyAlignment="1" applyFill="1" applyFont="1">
      <alignment readingOrder="0"/>
    </xf>
    <xf borderId="0" fillId="8" fontId="6" numFmtId="0" xfId="0" applyFont="1"/>
    <xf borderId="0" fillId="9" fontId="6" numFmtId="0" xfId="0" applyAlignment="1" applyFill="1" applyFont="1">
      <alignment horizontal="center" readingOrder="0"/>
    </xf>
    <xf borderId="0" fillId="9" fontId="6" numFmtId="0" xfId="0" applyAlignment="1" applyFont="1">
      <alignment readingOrder="0"/>
    </xf>
    <xf borderId="0" fillId="9" fontId="6" numFmtId="164" xfId="0" applyAlignment="1" applyFont="1" applyNumberFormat="1">
      <alignment readingOrder="0"/>
    </xf>
    <xf borderId="0" fillId="9" fontId="6" numFmtId="164" xfId="0" applyFont="1" applyNumberFormat="1"/>
    <xf borderId="0" fillId="9" fontId="6" numFmtId="10" xfId="0" applyFont="1" applyNumberFormat="1"/>
    <xf borderId="0" fillId="9" fontId="16" numFmtId="10" xfId="0" applyAlignment="1" applyFont="1" applyNumberFormat="1">
      <alignment horizontal="right" readingOrder="0" vertical="bottom"/>
    </xf>
    <xf borderId="0" fillId="9" fontId="16" numFmtId="164" xfId="0" applyAlignment="1" applyFont="1" applyNumberFormat="1">
      <alignment horizontal="right" readingOrder="0" vertical="bottom"/>
    </xf>
    <xf borderId="0" fillId="9" fontId="16" numFmtId="0" xfId="0" applyAlignment="1" applyFont="1">
      <alignment horizontal="right" readingOrder="0" vertical="bottom"/>
    </xf>
    <xf borderId="0" fillId="9" fontId="6" numFmtId="3" xfId="0" applyAlignment="1" applyFont="1" applyNumberFormat="1">
      <alignment readingOrder="0"/>
    </xf>
    <xf borderId="0" fillId="9" fontId="8" numFmtId="164" xfId="0" applyAlignment="1" applyFont="1" applyNumberFormat="1">
      <alignment readingOrder="0"/>
    </xf>
    <xf borderId="0" fillId="8" fontId="6" numFmtId="10" xfId="0" applyFont="1" applyNumberFormat="1"/>
    <xf borderId="0" fillId="6" fontId="17" numFmtId="0" xfId="0" applyAlignment="1" applyFont="1">
      <alignment horizontal="center" readingOrder="0"/>
    </xf>
    <xf borderId="0" fillId="6" fontId="6" numFmtId="0" xfId="0" applyAlignment="1" applyFont="1">
      <alignment readingOrder="0"/>
    </xf>
    <xf borderId="0" fillId="6" fontId="6" numFmtId="0" xfId="0" applyFont="1"/>
    <xf borderId="0" fillId="6" fontId="6" numFmtId="166" xfId="0" applyAlignment="1" applyFont="1" applyNumberFormat="1">
      <alignment readingOrder="0"/>
    </xf>
    <xf borderId="0" fillId="6" fontId="17" numFmtId="164" xfId="0" applyAlignment="1" applyFont="1" applyNumberFormat="1">
      <alignment readingOrder="0"/>
    </xf>
    <xf borderId="0" fillId="6" fontId="16" numFmtId="10" xfId="0" applyAlignment="1" applyFont="1" applyNumberFormat="1">
      <alignment horizontal="right" readingOrder="0" vertical="bottom"/>
    </xf>
    <xf borderId="0" fillId="6" fontId="16" numFmtId="164" xfId="0" applyAlignment="1" applyFont="1" applyNumberFormat="1">
      <alignment horizontal="right" readingOrder="0" vertical="bottom"/>
    </xf>
    <xf borderId="0" fillId="6" fontId="16" numFmtId="0" xfId="0" applyAlignment="1" applyFont="1">
      <alignment horizontal="right" readingOrder="0" vertical="bottom"/>
    </xf>
    <xf borderId="0" fillId="6" fontId="6" numFmtId="3" xfId="0" applyAlignment="1" applyFont="1" applyNumberFormat="1">
      <alignment readingOrder="0"/>
    </xf>
    <xf borderId="0" fillId="9" fontId="17" numFmtId="164" xfId="0" applyFont="1" applyNumberFormat="1"/>
    <xf borderId="0" fillId="9" fontId="6" numFmtId="165" xfId="0" applyAlignment="1" applyFont="1" applyNumberFormat="1">
      <alignment readingOrder="0"/>
    </xf>
    <xf borderId="0" fillId="6" fontId="6" numFmtId="0" xfId="0" applyAlignment="1" applyFont="1">
      <alignment horizontal="center" readingOrder="0"/>
    </xf>
    <xf borderId="0" fillId="6" fontId="17" numFmtId="165" xfId="0" applyFont="1" applyNumberFormat="1"/>
    <xf borderId="0" fillId="6" fontId="17" numFmtId="164" xfId="0" applyFont="1" applyNumberFormat="1"/>
    <xf borderId="0" fillId="9" fontId="17" numFmtId="164" xfId="0" applyAlignment="1" applyFont="1" applyNumberFormat="1">
      <alignment readingOrder="0"/>
    </xf>
    <xf borderId="0" fillId="6" fontId="6" numFmtId="167" xfId="0" applyAlignment="1" applyFont="1" applyNumberFormat="1">
      <alignment readingOrder="0"/>
    </xf>
    <xf borderId="0" fillId="6" fontId="6" numFmtId="168" xfId="0" applyAlignment="1" applyFont="1" applyNumberFormat="1">
      <alignment readingOrder="0"/>
    </xf>
    <xf borderId="0" fillId="6" fontId="18" numFmtId="164" xfId="0" applyAlignment="1" applyFont="1" applyNumberFormat="1">
      <alignment vertical="bottom"/>
    </xf>
    <xf borderId="0" fillId="6" fontId="18" numFmtId="165" xfId="0" applyAlignment="1" applyFont="1" applyNumberFormat="1">
      <alignment horizontal="right" vertical="bottom"/>
    </xf>
    <xf borderId="0" fillId="6" fontId="19" numFmtId="0" xfId="0" applyAlignment="1" applyFont="1">
      <alignment horizontal="right" readingOrder="0" vertical="bottom"/>
    </xf>
    <xf borderId="0" fillId="6" fontId="18" numFmtId="164" xfId="0" applyAlignment="1" applyFont="1" applyNumberFormat="1">
      <alignment horizontal="right" vertical="bottom"/>
    </xf>
    <xf borderId="0" fillId="9" fontId="6" numFmtId="0" xfId="0" applyFont="1"/>
    <xf borderId="0" fillId="9" fontId="12" numFmtId="0" xfId="0" applyAlignment="1" applyFont="1">
      <alignment readingOrder="0"/>
    </xf>
    <xf borderId="0" fillId="6" fontId="12" numFmtId="0" xfId="0" applyAlignment="1" applyFont="1">
      <alignment readingOrder="0"/>
    </xf>
    <xf borderId="0" fillId="8" fontId="6" numFmtId="0" xfId="0" applyAlignment="1" applyFont="1">
      <alignment horizontal="center" readingOrder="0"/>
    </xf>
    <xf borderId="0" fillId="8" fontId="12" numFmtId="164" xfId="0" applyFont="1" applyNumberFormat="1"/>
    <xf borderId="0" fillId="8" fontId="6" numFmtId="164" xfId="0" applyFont="1" applyNumberFormat="1"/>
    <xf borderId="0" fillId="8" fontId="6" numFmtId="10" xfId="0" applyAlignment="1" applyFont="1" applyNumberFormat="1">
      <alignment readingOrder="0"/>
    </xf>
    <xf borderId="0" fillId="8" fontId="12" numFmtId="10" xfId="0" applyFont="1" applyNumberFormat="1"/>
    <xf borderId="0" fillId="8" fontId="12" numFmtId="0" xfId="0" applyFont="1"/>
    <xf borderId="0" fillId="8" fontId="12" numFmtId="164" xfId="0" applyFont="1" applyNumberFormat="1"/>
    <xf borderId="0" fillId="8" fontId="6" numFmtId="164" xfId="0" applyFont="1" applyNumberFormat="1"/>
    <xf borderId="0" fillId="8" fontId="12" numFmtId="3" xfId="0" applyFont="1" applyNumberFormat="1"/>
    <xf borderId="0" fillId="8" fontId="12" numFmtId="164" xfId="0" applyAlignment="1" applyFont="1" applyNumberFormat="1">
      <alignment readingOrder="0"/>
    </xf>
    <xf borderId="0" fillId="8" fontId="12" numFmtId="3" xfId="0" applyAlignment="1" applyFont="1" applyNumberFormat="1">
      <alignment readingOrder="0"/>
    </xf>
    <xf borderId="0" fillId="8" fontId="12" numFmtId="10" xfId="0" applyAlignment="1" applyFont="1" applyNumberFormat="1">
      <alignment readingOrder="0"/>
    </xf>
    <xf borderId="0" fillId="8" fontId="20" numFmtId="0" xfId="0" applyFont="1"/>
    <xf borderId="0" fillId="8" fontId="12" numFmtId="4" xfId="0" applyAlignment="1" applyFont="1" applyNumberFormat="1">
      <alignment readingOrder="0"/>
    </xf>
    <xf borderId="0" fillId="8" fontId="12" numFmtId="4" xfId="0" applyFont="1" applyNumberFormat="1"/>
    <xf borderId="0" fillId="9" fontId="21" numFmtId="10" xfId="0" applyAlignment="1" applyFont="1" applyNumberFormat="1">
      <alignment horizontal="right" readingOrder="0" vertical="bottom"/>
    </xf>
    <xf borderId="0" fillId="9" fontId="21" numFmtId="164" xfId="0" applyAlignment="1" applyFont="1" applyNumberFormat="1">
      <alignment horizontal="right" readingOrder="0" vertical="bottom"/>
    </xf>
    <xf borderId="0" fillId="9" fontId="21" numFmtId="0" xfId="0" applyAlignment="1" applyFont="1">
      <alignment horizontal="right" readingOrder="0" vertical="bottom"/>
    </xf>
    <xf borderId="0" fillId="9" fontId="22" numFmtId="0" xfId="0" applyFont="1"/>
    <xf borderId="0" fillId="9" fontId="6" numFmtId="164" xfId="0" applyAlignment="1" applyFont="1" applyNumberFormat="1">
      <alignment readingOrder="0"/>
    </xf>
    <xf borderId="0" fillId="9" fontId="6" numFmtId="169" xfId="0" applyFont="1" applyNumberFormat="1"/>
    <xf borderId="0" fillId="0" fontId="6" numFmtId="0" xfId="0" applyFont="1"/>
    <xf borderId="0" fillId="0" fontId="6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7" numFmtId="164" xfId="0" applyFont="1" applyNumberFormat="1"/>
    <xf borderId="0" fillId="0" fontId="6" numFmtId="164" xfId="0" applyFont="1" applyNumberFormat="1"/>
    <xf borderId="0" fillId="0" fontId="6" numFmtId="10" xfId="0" applyFont="1" applyNumberFormat="1"/>
    <xf borderId="0" fillId="0" fontId="23" numFmtId="10" xfId="0" applyAlignment="1" applyFont="1" applyNumberFormat="1">
      <alignment horizontal="right" readingOrder="0" vertical="bottom"/>
    </xf>
    <xf borderId="0" fillId="0" fontId="23" numFmtId="164" xfId="0" applyAlignment="1" applyFont="1" applyNumberFormat="1">
      <alignment horizontal="right" readingOrder="0" vertical="bottom"/>
    </xf>
    <xf borderId="0" fillId="0" fontId="23" numFmtId="0" xfId="0" applyAlignment="1" applyFont="1">
      <alignment horizontal="right" readingOrder="0" vertical="bottom"/>
    </xf>
    <xf borderId="0" fillId="0" fontId="9" numFmtId="0" xfId="0" applyFont="1"/>
    <xf borderId="0" fillId="0" fontId="6" numFmtId="164" xfId="0" applyAlignment="1" applyFont="1" applyNumberFormat="1">
      <alignment readingOrder="0"/>
    </xf>
    <xf borderId="0" fillId="0" fontId="6" numFmtId="169" xfId="0" applyFont="1" applyNumberFormat="1"/>
    <xf borderId="0" fillId="0" fontId="6" numFmtId="0" xfId="0" applyAlignment="1" applyFont="1">
      <alignment horizontal="center" readingOrder="0"/>
    </xf>
    <xf borderId="0" fillId="9" fontId="6" numFmtId="10" xfId="0" applyAlignment="1" applyFont="1" applyNumberFormat="1">
      <alignment readingOrder="0"/>
    </xf>
    <xf borderId="0" fillId="8" fontId="20" numFmtId="10" xfId="0" applyFont="1" applyNumberFormat="1"/>
    <xf borderId="0" fillId="8" fontId="20" numFmtId="164" xfId="0" applyFont="1" applyNumberFormat="1"/>
    <xf borderId="0" fillId="8" fontId="20" numFmtId="0" xfId="0" applyAlignment="1" applyFont="1">
      <alignment readingOrder="0"/>
    </xf>
    <xf borderId="0" fillId="8" fontId="20" numFmtId="0" xfId="0" applyAlignment="1" applyFont="1">
      <alignment horizontal="center"/>
    </xf>
    <xf borderId="0" fillId="8" fontId="20" numFmtId="164" xfId="0" applyFont="1" applyNumberFormat="1"/>
    <xf borderId="0" fillId="8" fontId="24" numFmtId="0" xfId="0" applyFont="1"/>
    <xf borderId="0" fillId="8" fontId="6" numFmtId="0" xfId="0" applyAlignment="1" applyFont="1">
      <alignment horizontal="center"/>
    </xf>
    <xf borderId="0" fillId="9" fontId="22" numFmtId="3" xfId="0" applyAlignment="1" applyFont="1" applyNumberFormat="1">
      <alignment readingOrder="0"/>
    </xf>
    <xf borderId="0" fillId="6" fontId="23" numFmtId="10" xfId="0" applyAlignment="1" applyFont="1" applyNumberFormat="1">
      <alignment horizontal="right" readingOrder="0" vertical="bottom"/>
    </xf>
    <xf borderId="0" fillId="6" fontId="23" numFmtId="164" xfId="0" applyAlignment="1" applyFont="1" applyNumberFormat="1">
      <alignment horizontal="right" readingOrder="0" vertical="bottom"/>
    </xf>
    <xf borderId="0" fillId="6" fontId="23" numFmtId="0" xfId="0" applyAlignment="1" applyFont="1">
      <alignment horizontal="right" readingOrder="0" vertical="bottom"/>
    </xf>
    <xf borderId="0" fillId="6" fontId="9" numFmtId="3" xfId="0" applyAlignment="1" applyFont="1" applyNumberFormat="1">
      <alignment readingOrder="0"/>
    </xf>
    <xf borderId="0" fillId="6" fontId="6" numFmtId="169" xfId="0" applyFont="1" applyNumberFormat="1"/>
    <xf borderId="0" fillId="9" fontId="22" numFmtId="0" xfId="0" applyAlignment="1" applyFont="1">
      <alignment readingOrder="0"/>
    </xf>
    <xf borderId="0" fillId="6" fontId="9" numFmtId="0" xfId="0" applyAlignment="1" applyFont="1">
      <alignment readingOrder="0"/>
    </xf>
    <xf borderId="0" fillId="8" fontId="20" numFmtId="10" xfId="0" applyAlignment="1" applyFont="1" applyNumberFormat="1">
      <alignment readingOrder="0"/>
    </xf>
    <xf borderId="0" fillId="8" fontId="20" numFmtId="3" xfId="0" applyFont="1" applyNumberFormat="1"/>
    <xf borderId="0" fillId="8" fontId="20" numFmtId="3" xfId="0" applyAlignment="1" applyFont="1" applyNumberFormat="1">
      <alignment readingOrder="0"/>
    </xf>
    <xf borderId="0" fillId="8" fontId="20" numFmtId="4" xfId="0" applyAlignment="1" applyFont="1" applyNumberFormat="1">
      <alignment readingOrder="0"/>
    </xf>
    <xf borderId="0" fillId="8" fontId="20" numFmtId="4" xfId="0" applyFont="1" applyNumberFormat="1"/>
    <xf borderId="0" fillId="9" fontId="17" numFmtId="165" xfId="0" applyAlignment="1" applyFont="1" applyNumberFormat="1">
      <alignment readingOrder="0"/>
    </xf>
    <xf borderId="0" fillId="9" fontId="6" numFmtId="165" xfId="0" applyFont="1" applyNumberFormat="1"/>
    <xf borderId="0" fillId="9" fontId="8" numFmtId="165" xfId="0" applyAlignment="1" applyFont="1" applyNumberFormat="1">
      <alignment readingOrder="0"/>
    </xf>
    <xf borderId="0" fillId="6" fontId="17" numFmtId="165" xfId="0" applyAlignment="1" applyFont="1" applyNumberFormat="1">
      <alignment readingOrder="0"/>
    </xf>
    <xf borderId="0" fillId="6" fontId="6" numFmtId="165" xfId="0" applyFont="1" applyNumberFormat="1"/>
    <xf borderId="0" fillId="6" fontId="8" numFmtId="165" xfId="0" applyAlignment="1" applyFont="1" applyNumberFormat="1">
      <alignment readingOrder="0"/>
    </xf>
    <xf borderId="0" fillId="9" fontId="17" numFmtId="165" xfId="0" applyFont="1" applyNumberFormat="1"/>
    <xf borderId="0" fillId="6" fontId="18" numFmtId="165" xfId="0" applyAlignment="1" applyFont="1" applyNumberFormat="1">
      <alignment horizontal="right" vertical="bottom"/>
    </xf>
    <xf borderId="0" fillId="6" fontId="17" numFmtId="165" xfId="0" applyFont="1" applyNumberFormat="1"/>
    <xf borderId="0" fillId="8" fontId="12" numFmtId="165" xfId="0" applyFont="1" applyNumberFormat="1"/>
    <xf borderId="0" fillId="8" fontId="6" numFmtId="165" xfId="0" applyFont="1" applyNumberFormat="1"/>
    <xf borderId="0" fillId="8" fontId="12" numFmtId="165" xfId="0" applyAlignment="1" applyFont="1" applyNumberFormat="1">
      <alignment readingOrder="0"/>
    </xf>
    <xf borderId="3" fillId="0" fontId="6" numFmtId="0" xfId="0" applyBorder="1" applyFont="1"/>
    <xf borderId="4" fillId="10" fontId="6" numFmtId="0" xfId="0" applyAlignment="1" applyBorder="1" applyFill="1" applyFont="1">
      <alignment readingOrder="0"/>
    </xf>
    <xf borderId="4" fillId="9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9" fontId="17" numFmtId="164" xfId="0" applyAlignment="1" applyBorder="1" applyFont="1" applyNumberFormat="1">
      <alignment readingOrder="0"/>
    </xf>
    <xf borderId="4" fillId="0" fontId="6" numFmtId="0" xfId="0" applyBorder="1" applyFont="1"/>
    <xf borderId="5" fillId="0" fontId="6" numFmtId="0" xfId="0" applyBorder="1" applyFont="1"/>
    <xf borderId="6" fillId="0" fontId="3" numFmtId="0" xfId="0" applyAlignment="1" applyBorder="1" applyFont="1">
      <alignment horizontal="center" readingOrder="0"/>
    </xf>
    <xf borderId="0" fillId="10" fontId="6" numFmtId="0" xfId="0" applyFont="1"/>
    <xf borderId="7" fillId="0" fontId="6" numFmtId="0" xfId="0" applyBorder="1" applyFont="1"/>
    <xf borderId="6" fillId="0" fontId="6" numFmtId="0" xfId="0" applyAlignment="1" applyBorder="1" applyFont="1">
      <alignment readingOrder="0"/>
    </xf>
    <xf borderId="6" fillId="0" fontId="6" numFmtId="0" xfId="0" applyBorder="1" applyFont="1"/>
    <xf borderId="7" fillId="0" fontId="9" numFmtId="0" xfId="0" applyBorder="1" applyFont="1"/>
    <xf borderId="0" fillId="0" fontId="3" numFmtId="0" xfId="0" applyFont="1"/>
    <xf borderId="8" fillId="0" fontId="6" numFmtId="0" xfId="0" applyAlignment="1" applyBorder="1" applyFont="1">
      <alignment readingOrder="0"/>
    </xf>
    <xf borderId="9" fillId="0" fontId="6" numFmtId="0" xfId="0" applyBorder="1" applyFont="1"/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25"/>
    <col customWidth="1" min="2" max="2" width="18.5"/>
    <col customWidth="1" hidden="1" min="3" max="3" width="9.75"/>
    <col customWidth="1" hidden="1" min="4" max="4" width="12.5"/>
    <col customWidth="1" hidden="1" min="5" max="5" width="10.25"/>
    <col customWidth="1" min="6" max="6" width="11.0"/>
    <col customWidth="1" min="7" max="7" width="12.25"/>
    <col customWidth="1" min="8" max="8" width="16.13"/>
    <col customWidth="1" min="9" max="9" width="17.0"/>
  </cols>
  <sheetData>
    <row r="1">
      <c r="A1" s="1" t="s">
        <v>0</v>
      </c>
      <c r="B1" s="2">
        <f>H15</f>
        <v>12000</v>
      </c>
      <c r="C1" s="3">
        <f>B1+G13</f>
        <v>255783.4549</v>
      </c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4" t="s">
        <v>7</v>
      </c>
      <c r="H2" s="4" t="s">
        <v>8</v>
      </c>
      <c r="I2" s="7" t="s">
        <v>9</v>
      </c>
      <c r="J2" s="8"/>
    </row>
    <row r="3">
      <c r="A3" s="9" t="s">
        <v>10</v>
      </c>
      <c r="B3" s="10">
        <v>0.05</v>
      </c>
      <c r="C3" s="11">
        <f>IF(E3=1,D3/D13,0)</f>
        <v>0.09623490389</v>
      </c>
      <c r="D3" s="12">
        <f>IF(E3=1,C1*B3-G3,0)</f>
        <v>12789.16274</v>
      </c>
      <c r="E3" s="13">
        <f>IF(B3&gt;G3/C1,1,0)</f>
        <v>1</v>
      </c>
      <c r="F3" s="14">
        <f>G3/G13</f>
        <v>0.000000041020011</v>
      </c>
      <c r="G3" s="15">
        <f>'RI, RV e RF'!F42</f>
        <v>0.01</v>
      </c>
      <c r="H3" s="16">
        <f>IF(G3/C1&gt;B3,C1*B3-G3,C3*B1)</f>
        <v>1154.818847</v>
      </c>
      <c r="I3" s="17">
        <f t="shared" ref="I3:I12" si="1">G3+H3</f>
        <v>1154.828847</v>
      </c>
      <c r="J3" s="18">
        <f>I3/C1</f>
        <v>0.004514869217</v>
      </c>
    </row>
    <row r="4">
      <c r="A4" s="19" t="s">
        <v>11</v>
      </c>
      <c r="B4" s="20">
        <v>0.05</v>
      </c>
      <c r="C4" s="21">
        <f>IF(E4=1,D4/D13,0)</f>
        <v>0.08123972721</v>
      </c>
      <c r="D4" s="22">
        <f>IF(E4=1,C1*B4-G4,0)</f>
        <v>10796.37481</v>
      </c>
      <c r="E4" s="23">
        <f>IF(B4&gt;G4/C1,1,0)</f>
        <v>1</v>
      </c>
      <c r="F4" s="24">
        <f>G4/G13</f>
        <v>0.008174459302</v>
      </c>
      <c r="G4" s="25">
        <f>'RI, RV e RF'!F43</f>
        <v>1992.79793</v>
      </c>
      <c r="H4" s="26">
        <f>IF(H3&gt;0,C4*B1,C4*(B1-H3))</f>
        <v>974.8767265</v>
      </c>
      <c r="I4" s="27">
        <f t="shared" si="1"/>
        <v>2967.674657</v>
      </c>
      <c r="J4" s="18">
        <f>I4/C1</f>
        <v>0.01160229327</v>
      </c>
    </row>
    <row r="5">
      <c r="A5" s="9" t="s">
        <v>12</v>
      </c>
      <c r="B5" s="10">
        <v>0.1</v>
      </c>
      <c r="C5" s="11">
        <f>IF(E5=1,D5/D13,0)</f>
        <v>0.09540833375</v>
      </c>
      <c r="D5" s="12">
        <f>IF(E5=1,C1*B5-G5,0)</f>
        <v>12679.31549</v>
      </c>
      <c r="E5" s="13">
        <f>IF(B5&gt;G5/C1,1,0)</f>
        <v>1</v>
      </c>
      <c r="F5" s="14">
        <f>G5/G13</f>
        <v>0.05291183524</v>
      </c>
      <c r="G5" s="15">
        <f>'RI, RV e RF'!F44</f>
        <v>12899.03</v>
      </c>
      <c r="H5" s="16">
        <f>IF(H3&gt;0,C5*B1,C5*(B1-H3))</f>
        <v>1144.900005</v>
      </c>
      <c r="I5" s="17">
        <f t="shared" si="1"/>
        <v>14043.93</v>
      </c>
      <c r="J5" s="18">
        <f>I5/C1</f>
        <v>0.05490554505</v>
      </c>
    </row>
    <row r="6">
      <c r="A6" s="19" t="s">
        <v>13</v>
      </c>
      <c r="B6" s="20">
        <v>0.15</v>
      </c>
      <c r="C6" s="21">
        <f>IF(E6=1,D6/D13,0)</f>
        <v>0</v>
      </c>
      <c r="D6" s="22">
        <f>IF(E6=1,C1*B6-G6,0)</f>
        <v>0</v>
      </c>
      <c r="E6" s="23">
        <f>IF(B6&gt;G6/C1,1,0)</f>
        <v>0</v>
      </c>
      <c r="F6" s="24">
        <f>G6/G13</f>
        <v>0.6532960987</v>
      </c>
      <c r="G6" s="25">
        <f>FII!F23</f>
        <v>159262.78</v>
      </c>
      <c r="H6" s="26">
        <f>IF(H3&gt;0,C6*B1,C6*(B1-H3))</f>
        <v>0</v>
      </c>
      <c r="I6" s="27">
        <f t="shared" si="1"/>
        <v>159262.78</v>
      </c>
      <c r="J6" s="18">
        <f>I6/C1</f>
        <v>0.6226469186</v>
      </c>
    </row>
    <row r="7">
      <c r="A7" s="9" t="s">
        <v>14</v>
      </c>
      <c r="B7" s="10">
        <v>0.35</v>
      </c>
      <c r="C7" s="11">
        <f>IF(E7=1,D7/D13,0)</f>
        <v>0.3690423463</v>
      </c>
      <c r="D7" s="12">
        <f>IF(E7=1,C1*B7-G7,0)</f>
        <v>49043.97921</v>
      </c>
      <c r="E7" s="13">
        <f>IF(B7&gt;G7/C1,1,0)</f>
        <v>1</v>
      </c>
      <c r="F7" s="14">
        <f>G7/G13</f>
        <v>0.166049948</v>
      </c>
      <c r="G7" s="15">
        <f>'Ações'!E102</f>
        <v>40480.23</v>
      </c>
      <c r="H7" s="16">
        <f>IF(H3&gt;0,C7*B1,C7*(B1-H3))</f>
        <v>4428.508155</v>
      </c>
      <c r="I7" s="17">
        <f t="shared" si="1"/>
        <v>44908.73816</v>
      </c>
      <c r="J7" s="18">
        <f>I7/C1</f>
        <v>0.1755732722</v>
      </c>
    </row>
    <row r="8">
      <c r="A8" s="19" t="s">
        <v>15</v>
      </c>
      <c r="B8" s="20">
        <v>0.1</v>
      </c>
      <c r="C8" s="21">
        <f>IF(E8=1,D8/D13,0)</f>
        <v>0.120509177</v>
      </c>
      <c r="D8" s="22">
        <f>IF(E8=1,C1*B8-G8,0)</f>
        <v>16015.09863</v>
      </c>
      <c r="E8" s="23">
        <f>IF(B8&gt;G8/C1,1,0)</f>
        <v>1</v>
      </c>
      <c r="F8" s="24">
        <f>G8/G13</f>
        <v>0.03922844913</v>
      </c>
      <c r="G8" s="25">
        <f>Exterior!H42</f>
        <v>9563.246859</v>
      </c>
      <c r="H8" s="26">
        <f>IF(H3&gt;0,C8*B1,C8*(B1-H3))</f>
        <v>1446.110125</v>
      </c>
      <c r="I8" s="27">
        <f t="shared" si="1"/>
        <v>11009.35698</v>
      </c>
      <c r="J8" s="18">
        <f>I8/C1</f>
        <v>0.04304170881</v>
      </c>
    </row>
    <row r="9">
      <c r="A9" s="9" t="s">
        <v>16</v>
      </c>
      <c r="B9" s="10">
        <v>0.05</v>
      </c>
      <c r="C9" s="11">
        <f>IF(E9=1,D9/D13,0)</f>
        <v>0.06196267209</v>
      </c>
      <c r="D9" s="12">
        <f>IF(E9=1,C1*B9-G9,0)</f>
        <v>8234.545527</v>
      </c>
      <c r="E9" s="13">
        <f>IF(B9&gt;G9/C1,1,0)</f>
        <v>1</v>
      </c>
      <c r="F9" s="14">
        <f>G9/G13</f>
        <v>0.01868308585</v>
      </c>
      <c r="G9" s="15">
        <f>Exterior!H43</f>
        <v>4554.627217</v>
      </c>
      <c r="H9" s="16">
        <f>IF(H3&gt;0,C9*B1,C9*(B1-H3))</f>
        <v>743.5520651</v>
      </c>
      <c r="I9" s="17">
        <f t="shared" si="1"/>
        <v>5298.179282</v>
      </c>
      <c r="J9" s="18">
        <f>I9/C1</f>
        <v>0.02071353397</v>
      </c>
    </row>
    <row r="10">
      <c r="A10" s="19" t="s">
        <v>17</v>
      </c>
      <c r="B10" s="20">
        <v>0.05</v>
      </c>
      <c r="C10" s="21">
        <f>IF(E10=1,D10/D13,0)</f>
        <v>0.05894927659</v>
      </c>
      <c r="D10" s="22">
        <f>IF(E10=1,C1*B10-G10,0)</f>
        <v>7834.079543</v>
      </c>
      <c r="E10" s="23">
        <f>IF(B10&gt;G10/C1,1,0)</f>
        <v>1</v>
      </c>
      <c r="F10" s="24">
        <f>G10/G13</f>
        <v>0.02032579776</v>
      </c>
      <c r="G10" s="25">
        <f>Exterior!H44</f>
        <v>4955.093201</v>
      </c>
      <c r="H10" s="26">
        <f>IF(H3&gt;0,C10*B1,C10*(B1-H3))</f>
        <v>707.391319</v>
      </c>
      <c r="I10" s="27">
        <f t="shared" si="1"/>
        <v>5662.48452</v>
      </c>
      <c r="J10" s="18">
        <f>I10/C1</f>
        <v>0.02213780607</v>
      </c>
    </row>
    <row r="11">
      <c r="A11" s="9" t="s">
        <v>18</v>
      </c>
      <c r="B11" s="10">
        <v>0.05</v>
      </c>
      <c r="C11" s="11">
        <f>IF(E11=1,D11/D13,0)</f>
        <v>0.05971156718</v>
      </c>
      <c r="D11" s="12">
        <f>IF(E11=1,C1*B11-G11,0)</f>
        <v>7935.384351</v>
      </c>
      <c r="E11" s="13">
        <f>IF(B11&gt;G11/C1,1,0)</f>
        <v>1</v>
      </c>
      <c r="F11" s="14">
        <f>G11/G13</f>
        <v>0.01991024533</v>
      </c>
      <c r="G11" s="15">
        <f>Exterior!H45</f>
        <v>4853.788393</v>
      </c>
      <c r="H11" s="16">
        <f>IF(H3&gt;0,C11*B1,C11*(B1-H3))</f>
        <v>716.5388062</v>
      </c>
      <c r="I11" s="17">
        <f t="shared" si="1"/>
        <v>5570.327199</v>
      </c>
      <c r="J11" s="18">
        <f>I11/C1</f>
        <v>0.02177751177</v>
      </c>
    </row>
    <row r="12">
      <c r="A12" s="19" t="s">
        <v>19</v>
      </c>
      <c r="B12" s="20">
        <v>0.05</v>
      </c>
      <c r="C12" s="21">
        <f>IF(E12=1,D12/D13,0)</f>
        <v>0.05694199598</v>
      </c>
      <c r="D12" s="22">
        <f>IF(E12=1,C1*B12-G12,0)</f>
        <v>7567.321462</v>
      </c>
      <c r="E12" s="23">
        <f>IF(B12&gt;G12/C1,1,0)</f>
        <v>1</v>
      </c>
      <c r="F12" s="24">
        <f>G12/G13</f>
        <v>0.0214200397</v>
      </c>
      <c r="G12" s="25">
        <f>Exterior!H46</f>
        <v>5221.851282</v>
      </c>
      <c r="H12" s="26">
        <f>IF(H3&gt;0,C12*B1,C12*(B1-H3))</f>
        <v>683.3039518</v>
      </c>
      <c r="I12" s="27">
        <f t="shared" si="1"/>
        <v>5905.155234</v>
      </c>
      <c r="J12" s="18">
        <f>I12/C1</f>
        <v>0.02308654106</v>
      </c>
    </row>
    <row r="13">
      <c r="A13" s="28" t="s">
        <v>20</v>
      </c>
      <c r="B13" s="18">
        <f t="shared" ref="B13:D13" si="2">SUM(B3:B12)</f>
        <v>1</v>
      </c>
      <c r="C13" s="29">
        <f t="shared" si="2"/>
        <v>1</v>
      </c>
      <c r="D13" s="30">
        <f t="shared" si="2"/>
        <v>132895.2618</v>
      </c>
      <c r="E13" s="31"/>
      <c r="F13" s="18">
        <f t="shared" ref="F13:J13" si="3">SUM(F3:F12)</f>
        <v>1</v>
      </c>
      <c r="G13" s="32">
        <f t="shared" si="3"/>
        <v>243783.4549</v>
      </c>
      <c r="H13" s="32">
        <f t="shared" si="3"/>
        <v>12000</v>
      </c>
      <c r="I13" s="32">
        <f t="shared" si="3"/>
        <v>255783.4549</v>
      </c>
      <c r="J13" s="18">
        <f t="shared" si="3"/>
        <v>1</v>
      </c>
    </row>
    <row r="14">
      <c r="A14" s="33"/>
      <c r="B14" s="33"/>
      <c r="C14" s="33"/>
      <c r="D14" s="33"/>
      <c r="E14" s="33"/>
      <c r="F14" s="33"/>
      <c r="G14" s="33"/>
      <c r="H14" s="34"/>
      <c r="I14" s="34"/>
      <c r="J14" s="34"/>
    </row>
    <row r="15">
      <c r="A15" s="28" t="s">
        <v>21</v>
      </c>
      <c r="B15" s="35">
        <v>12000.0</v>
      </c>
      <c r="C15" s="33"/>
      <c r="D15" s="33"/>
      <c r="E15" s="33"/>
      <c r="F15" s="36">
        <f>G13+B15</f>
        <v>255783.4549</v>
      </c>
      <c r="G15" s="37"/>
      <c r="H15" s="34">
        <f>SUM(H16,B15)</f>
        <v>12000</v>
      </c>
      <c r="I15" s="34"/>
      <c r="J15" s="36">
        <f>J16/2</f>
        <v>159696.606</v>
      </c>
    </row>
    <row r="16">
      <c r="A16" s="28"/>
      <c r="B16" s="38">
        <v>12084.15</v>
      </c>
      <c r="C16" s="34"/>
      <c r="D16" s="34"/>
      <c r="E16" s="34"/>
      <c r="F16" s="39">
        <f>B16-B17</f>
        <v>0</v>
      </c>
      <c r="G16" s="40">
        <f>I16*B16</f>
        <v>63609.75719</v>
      </c>
      <c r="H16" s="34">
        <f>IF(G16/F15&lt;1,0,J15-F15)</f>
        <v>0</v>
      </c>
      <c r="I16" s="36">
        <f>IFERROR(__xludf.DUMMYFUNCTION("GOOGLEFINANCE(""CURRENCY:USDBRL"")"),5.2639)</f>
        <v>5.2639</v>
      </c>
      <c r="J16" s="36">
        <f>SUM(G16,G13,B15)</f>
        <v>319393.2121</v>
      </c>
    </row>
    <row r="17">
      <c r="A17" s="28"/>
      <c r="B17" s="41">
        <f>(G16-H16)/I16</f>
        <v>12084.15</v>
      </c>
      <c r="C17" s="34"/>
      <c r="D17" s="34"/>
      <c r="E17" s="34"/>
      <c r="F17" s="34"/>
      <c r="G17" s="40">
        <f>I16*B17</f>
        <v>63609.75719</v>
      </c>
      <c r="H17" s="34"/>
      <c r="I17" s="34"/>
      <c r="J17" s="34"/>
    </row>
    <row r="18">
      <c r="A18" s="28"/>
      <c r="B18" s="42"/>
      <c r="C18" s="33"/>
      <c r="D18" s="33"/>
      <c r="E18" s="33"/>
      <c r="F18" s="33"/>
      <c r="G18" s="43"/>
      <c r="H18" s="34"/>
      <c r="I18" s="34"/>
      <c r="J18" s="34"/>
    </row>
  </sheetData>
  <mergeCells count="1">
    <mergeCell ref="C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75"/>
    <col customWidth="1" min="2" max="2" width="13.0"/>
    <col customWidth="1" min="3" max="3" width="12.75"/>
    <col customWidth="1" min="4" max="4" width="13.0"/>
    <col customWidth="1" min="6" max="7" width="13.63"/>
    <col customWidth="1" min="10" max="10" width="7.38"/>
    <col customWidth="1" min="11" max="11" width="13.5"/>
    <col customWidth="1" min="13" max="13" width="6.75"/>
    <col customWidth="1" min="14" max="14" width="11.25"/>
    <col customWidth="1" min="15" max="15" width="19.38"/>
  </cols>
  <sheetData>
    <row r="1">
      <c r="A1" s="44"/>
      <c r="B1" s="45" t="s">
        <v>22</v>
      </c>
      <c r="C1" s="45" t="s">
        <v>23</v>
      </c>
      <c r="D1" s="45" t="s">
        <v>24</v>
      </c>
      <c r="E1" s="45" t="s">
        <v>25</v>
      </c>
      <c r="F1" s="45" t="s">
        <v>26</v>
      </c>
      <c r="G1" s="45" t="s">
        <v>27</v>
      </c>
      <c r="H1" s="46" t="s">
        <v>28</v>
      </c>
      <c r="I1" s="46" t="s">
        <v>29</v>
      </c>
      <c r="J1" s="47" t="s">
        <v>30</v>
      </c>
      <c r="K1" s="47" t="s">
        <v>30</v>
      </c>
      <c r="L1" s="46"/>
      <c r="M1" s="46" t="s">
        <v>31</v>
      </c>
      <c r="N1" s="48">
        <f>SUM(D42:D46)</f>
        <v>3274.595578</v>
      </c>
      <c r="O1" s="46" t="s">
        <v>32</v>
      </c>
      <c r="P1" s="49" t="s">
        <v>33</v>
      </c>
      <c r="Q1" s="50"/>
    </row>
    <row r="2">
      <c r="A2" s="51">
        <v>1.0</v>
      </c>
      <c r="B2" s="52" t="s">
        <v>34</v>
      </c>
      <c r="C2" s="52"/>
      <c r="D2" s="53">
        <v>0.01</v>
      </c>
      <c r="E2" s="53">
        <v>1.0</v>
      </c>
      <c r="F2" s="54">
        <f t="shared" ref="F2:F40" si="1">D2*E2</f>
        <v>0.01</v>
      </c>
      <c r="G2" s="55">
        <f>IFS(L2="Grupo 0",0,L2="Grupo 1",F2/F42,L2="Grupo 2",F2/F43,L2="Grupo 3",F2/F44,L2="Grupo 4",F2/F45,L2="Grupo 5",F2/F46)</f>
        <v>1</v>
      </c>
      <c r="H2" s="55">
        <f>IFS(L2="Grupo 0",0,L2="Grupo 1",F2/E42,L2="Grupo 2",F2/E43,L2="Grupo 3",F2/E44,L2="Grupo 4",F2/E45,L2="Grupo 5",F2/E46)</f>
        <v>0.000008659291832</v>
      </c>
      <c r="I2" s="55">
        <f>IFS(L2="Grupo 0",0,L2="Grupo 1",M2/M42,L2="Grupo 2",M2/M43,L2="Grupo 3",M2/M44,L2="Grupo 4",M2/M45,L2="Grupo 5",M2/M46)</f>
        <v>1</v>
      </c>
      <c r="J2" s="56">
        <f>IFS(L2="Grupo 0",0,L2="Grupo 1",K2/K42,L2="Grupo 2",K2/K43,L2="Grupo 3",K2/K44,L2="Grupo 4",K2/K45,L2="Grupo 5",K2/K46)</f>
        <v>1</v>
      </c>
      <c r="K2" s="57">
        <f>IFS(L2="Grupo 0",0,L2="Grupo 1",(E42*I2-F2)*N2,L2="Grupo 2",(E43*I2-F2)*N2,L2="Grupo 3",(E44*I2-F2)*N2,L2="Grupo 4",(E45*I2-F2)*N2,L2="Grupo 5",(E46*I2-F2)*N2)</f>
        <v>1154.818847</v>
      </c>
      <c r="L2" s="58" t="s">
        <v>35</v>
      </c>
      <c r="M2" s="58">
        <v>5.0</v>
      </c>
      <c r="N2" s="59">
        <f t="shared" ref="N2:N40" si="2">IF(I2&lt;H2,0,1)</f>
        <v>1</v>
      </c>
      <c r="O2" s="60">
        <f>IFS(L2="Grupo 0",0,L2="Grupo 1",J2*D42,L2="Grupo 2",J2*D43,L2="Grupo 3",J2*D44,L2="Grupo 4",J2*D45,L2="Grupo 5",J2*D46)</f>
        <v>1154.818847</v>
      </c>
      <c r="P2" s="61">
        <f>(F2+O2)/D41</f>
        <v>0.06356937624</v>
      </c>
      <c r="Q2" s="50"/>
    </row>
    <row r="3">
      <c r="A3" s="62">
        <v>2.0</v>
      </c>
      <c r="B3" s="63"/>
      <c r="C3" s="64"/>
      <c r="D3" s="65"/>
      <c r="E3" s="66"/>
      <c r="F3" s="27">
        <f t="shared" si="1"/>
        <v>0</v>
      </c>
      <c r="G3" s="24">
        <f>IFS(L3="Grupo 0",0,L3="Grupo 1",F3/F42,L3="Grupo 2",F3/F43,L3="Grupo 3",F3/F44,L3="Grupo 4",F3/F45,L3="Grupo 5",F3/F46)</f>
        <v>0</v>
      </c>
      <c r="H3" s="24">
        <f>IFS(L3="Grupo 0",0,L3="Grupo 1",F3/E42,L3="Grupo 2",F3/E43,L3="Grupo 3",F3/E44,L3="Grupo 4",F3/E45,L3="Grupo 5",F3/E46)</f>
        <v>0</v>
      </c>
      <c r="I3" s="24">
        <f>IFS(L3="Grupo 0",0,L3="Grupo 1",M3/M42,L3="Grupo 2",M3/M43,L3="Grupo 3",M3/M44,L3="Grupo 4",M3/M45,L3="Grupo 5",M3/M46)</f>
        <v>0</v>
      </c>
      <c r="J3" s="67">
        <f>IFS(L3="Grupo 0",0,L3="Grupo 1",K3/K42,L3="Grupo 2",K3/K43,L3="Grupo 3",K3/K44,L3="Grupo 4",K3/K45,L3="Grupo 5",K3/K46)</f>
        <v>0</v>
      </c>
      <c r="K3" s="68">
        <f>IFS(L3="Grupo 0",0,L3="Grupo 1",(E42*I3-F3)*N3,L3="Grupo 2",(E43*I3-F3)*N3,L3="Grupo 3",(E44*I3-F3)*N3,L3="Grupo 4",(E45*I3-F3)*N3,L3="Grupo 5",(E46*I3-F3)*N3)</f>
        <v>0</v>
      </c>
      <c r="L3" s="69" t="s">
        <v>36</v>
      </c>
      <c r="M3" s="69">
        <v>1.0</v>
      </c>
      <c r="N3" s="70">
        <f t="shared" si="2"/>
        <v>1</v>
      </c>
      <c r="O3" s="26">
        <f>IFS(L3="Grupo 0",0,L3="Grupo 1",J3*D42,L3="Grupo 2",J3*D43,L3="Grupo 3",J3*D44,L3="Grupo 4",J3*D45,L3="Grupo 5",J3*D46)</f>
        <v>0</v>
      </c>
      <c r="P3" s="61">
        <f>(F3+O3)/D41</f>
        <v>0</v>
      </c>
      <c r="Q3" s="50"/>
    </row>
    <row r="4">
      <c r="A4" s="51">
        <v>3.0</v>
      </c>
      <c r="B4" s="52"/>
      <c r="C4" s="71"/>
      <c r="D4" s="72"/>
      <c r="E4" s="71"/>
      <c r="F4" s="54">
        <f t="shared" si="1"/>
        <v>0</v>
      </c>
      <c r="G4" s="55">
        <f>IFS(L4="Grupo 0",0,L4="Grupo 1",F4/F42,L4="Grupo 2",F4/F43,L4="Grupo 3",F4/F44,L4="Grupo 4",F4/F45,L4="Grupo 5",F4/F46)</f>
        <v>0</v>
      </c>
      <c r="H4" s="55">
        <f>IFS(L4="Grupo 0",0,L4="Grupo 1",F4/E42,L4="Grupo 2",F4/E43,L4="Grupo 3",F4/E44,L4="Grupo 4",F4/E45,L4="Grupo 5",F4/E46)</f>
        <v>0</v>
      </c>
      <c r="I4" s="55">
        <f>IFS(L4="Grupo 0",0,L4="Grupo 1",M4/M42,L4="Grupo 2",M4/M43,L4="Grupo 3",M4/M44,L4="Grupo 4",M4/M45,L4="Grupo 5",M4/M46)</f>
        <v>0</v>
      </c>
      <c r="J4" s="56">
        <f>IFS(L4="Grupo 0",0,L4="Grupo 1",K4/K42,L4="Grupo 2",K4/K43,L4="Grupo 3",K4/K44,L4="Grupo 4",K4/K45,L4="Grupo 5",K4/K46)</f>
        <v>0</v>
      </c>
      <c r="K4" s="57">
        <f>IFS(L4="Grupo 0",0,L4="Grupo 1",(E42*I4-F4)*N4,L4="Grupo 2",(E43*I4-F4)*N4,L4="Grupo 3",(E44*I4-F4)*N4,L4="Grupo 4",(E45*I4-F4)*N4,L4="Grupo 5",(E46*I4-F4)*N4)</f>
        <v>0</v>
      </c>
      <c r="L4" s="58" t="s">
        <v>36</v>
      </c>
      <c r="M4" s="58">
        <v>10.0</v>
      </c>
      <c r="N4" s="59">
        <f t="shared" si="2"/>
        <v>1</v>
      </c>
      <c r="O4" s="60">
        <f>IFS(L4="Grupo 0",0,L4="Grupo 1",J4*D42,L4="Grupo 2",J4*D43,L4="Grupo 3",J4*D44,L4="Grupo 4",J4*D45,L4="Grupo 5",J4*D46)</f>
        <v>0</v>
      </c>
      <c r="P4" s="61">
        <f>(F4+O4)/D41</f>
        <v>0</v>
      </c>
      <c r="Q4" s="50"/>
    </row>
    <row r="5">
      <c r="A5" s="73">
        <v>4.0</v>
      </c>
      <c r="B5" s="66"/>
      <c r="C5" s="74"/>
      <c r="D5" s="63"/>
      <c r="E5" s="75"/>
      <c r="F5" s="27">
        <f t="shared" si="1"/>
        <v>0</v>
      </c>
      <c r="G5" s="24">
        <f>IFS(L5="Grupo 0",0,L5="Grupo 1",F5/F42,L5="Grupo 2",F5/F43,L5="Grupo 3",F5/F44,L5="Grupo 4",F5/F45,L5="Grupo 5",F5/F46)</f>
        <v>0</v>
      </c>
      <c r="H5" s="24">
        <f>IFS(L5="Grupo 0",0,L5="Grupo 1",F5/E42,L5="Grupo 2",F5/E43,L5="Grupo 3",F5/E44,L5="Grupo 4",F5/E45,L5="Grupo 5",F5/E46)</f>
        <v>0</v>
      </c>
      <c r="I5" s="24">
        <f>IFS(L5="Grupo 0",0,L5="Grupo 1",M5/M42,L5="Grupo 2",M5/M43,L5="Grupo 3",M5/M44,L5="Grupo 4",M5/M45,L5="Grupo 5",M5/M46)</f>
        <v>0</v>
      </c>
      <c r="J5" s="67">
        <f>IFS(L5="Grupo 0",0,L5="Grupo 1",K5/K42,L5="Grupo 2",K5/K43,L5="Grupo 3",K5/K44,L5="Grupo 4",K5/K45,L5="Grupo 5",K5/K46)</f>
        <v>0</v>
      </c>
      <c r="K5" s="68">
        <f>IFS(L5="Grupo 0",0,L5="Grupo 1",(E42*I5-F5)*N5,L5="Grupo 2",(E43*I5-F5)*N5,L5="Grupo 3",(E44*I5-F5)*N5,L5="Grupo 4",(E45*I5-F5)*N5,L5="Grupo 5",(E46*I5-F5)*N5)</f>
        <v>0</v>
      </c>
      <c r="L5" s="69" t="s">
        <v>36</v>
      </c>
      <c r="M5" s="69">
        <v>1.0</v>
      </c>
      <c r="N5" s="70">
        <f t="shared" si="2"/>
        <v>1</v>
      </c>
      <c r="O5" s="26">
        <f>IFS(L5="Grupo 0",0,L5="Grupo 1",J5*D42,L5="Grupo 2",J5*D43,L5="Grupo 3",J5*D44,L5="Grupo 4",J5*D45,L5="Grupo 5",J5*D46)</f>
        <v>0</v>
      </c>
      <c r="P5" s="61">
        <f>(F5+O5)/D41</f>
        <v>0</v>
      </c>
      <c r="Q5" s="50"/>
    </row>
    <row r="6">
      <c r="A6" s="51">
        <v>5.0</v>
      </c>
      <c r="B6" s="52" t="s">
        <v>37</v>
      </c>
      <c r="C6" s="52"/>
      <c r="D6" s="52">
        <v>3102.81</v>
      </c>
      <c r="E6" s="76">
        <v>1.0</v>
      </c>
      <c r="F6" s="54">
        <f t="shared" si="1"/>
        <v>3102.81</v>
      </c>
      <c r="G6" s="55">
        <f>IFS(L6="Grupo 0",0,L6="Grupo 1",F6/F42,L6="Grupo 2",F6/F43,L6="Grupo 3",F6/F44,L6="Grupo 4",F6/F45,L6="Grupo 5",F6/F46)</f>
        <v>0.2405459945</v>
      </c>
      <c r="H6" s="55">
        <f>IFS(L6="Grupo 0",0,L6="Grupo 1",F6/E42,L6="Grupo 2",F6/E43,L6="Grupo 3",F6/E44,L6="Grupo 4",F6/E45,L6="Grupo 5",F6/E46)</f>
        <v>0.22093602</v>
      </c>
      <c r="I6" s="55">
        <f>IFS(L6="Grupo 0",0,L6="Grupo 1",M6/M42,L6="Grupo 2",M6/M43,L6="Grupo 3",M6/M44,L6="Grupo 4",M6/M45,L6="Grupo 5",M6/M46)</f>
        <v>0.5</v>
      </c>
      <c r="J6" s="56">
        <f>IFS(L6="Grupo 0",0,L6="Grupo 1",K6/K42,L6="Grupo 2",K6/K43,L6="Grupo 3",K6/K44,L6="Grupo 4",K6/K45,L6="Grupo 5",K6/K46)</f>
        <v>1</v>
      </c>
      <c r="K6" s="57">
        <f>IFS(L6="Grupo 0",0,L6="Grupo 1",(E42*I6-F6)*N6,L6="Grupo 2",(E43*I6-F6)*N6,L6="Grupo 3",(E44*I6-F6)*N6,L6="Grupo 4",(E45*I6-F6)*N6,L6="Grupo 5",(E46*I6-F6)*N6)</f>
        <v>3919.155002</v>
      </c>
      <c r="L6" s="58" t="s">
        <v>38</v>
      </c>
      <c r="M6" s="58">
        <v>10.0</v>
      </c>
      <c r="N6" s="59">
        <f t="shared" si="2"/>
        <v>1</v>
      </c>
      <c r="O6" s="60">
        <f>IFS(L6="Grupo 0",0,L6="Grupo 1",J6*D42,L6="Grupo 2",J6*D43,L6="Grupo 3",J6*D44,L6="Grupo 4",J6*D45,L6="Grupo 5",J6*D46)</f>
        <v>1144.900005</v>
      </c>
      <c r="P6" s="61">
        <f>(F6+O6)/D41</f>
        <v>0.2338219003</v>
      </c>
      <c r="Q6" s="50"/>
    </row>
    <row r="7">
      <c r="A7" s="73">
        <v>6.0</v>
      </c>
      <c r="B7" s="63" t="s">
        <v>39</v>
      </c>
      <c r="C7" s="77"/>
      <c r="D7" s="63">
        <v>9796.22</v>
      </c>
      <c r="E7" s="66">
        <v>1.0</v>
      </c>
      <c r="F7" s="27">
        <f t="shared" si="1"/>
        <v>9796.22</v>
      </c>
      <c r="G7" s="24">
        <f>IFS(L7="Grupo 0",0,L7="Grupo 1",F7/F42,L7="Grupo 2",F7/F43,L7="Grupo 3",F7/F44,L7="Grupo 4",F7/F45,L7="Grupo 5",F7/F46)</f>
        <v>0.7594540055</v>
      </c>
      <c r="H7" s="24">
        <f>IFS(L7="Grupo 0",0,L7="Grupo 1",F7/E42,L7="Grupo 2",F7/E43,L7="Grupo 3",F7/E44,L7="Grupo 4",F7/E45,L7="Grupo 5",F7/E46)</f>
        <v>0.6975412151</v>
      </c>
      <c r="I7" s="24">
        <f>IFS(L7="Grupo 0",0,L7="Grupo 1",M7/M42,L7="Grupo 2",M7/M43,L7="Grupo 3",M7/M44,L7="Grupo 4",M7/M45,L7="Grupo 5",M7/M46)</f>
        <v>0.5</v>
      </c>
      <c r="J7" s="67">
        <f>IFS(L7="Grupo 0",0,L7="Grupo 1",K7/K42,L7="Grupo 2",K7/K43,L7="Grupo 3",K7/K44,L7="Grupo 4",K7/K45,L7="Grupo 5",K7/K46)</f>
        <v>0</v>
      </c>
      <c r="K7" s="68">
        <f>IFS(L7="Grupo 0",0,L7="Grupo 1",(E42*I7-F7)*N7,L7="Grupo 2",(E43*I7-F7)*N7,L7="Grupo 3",(E44*I7-F7)*N7,L7="Grupo 4",(E45*I7-F7)*N7,L7="Grupo 5",(E46*I7-F7)*N7)</f>
        <v>0</v>
      </c>
      <c r="L7" s="69" t="s">
        <v>38</v>
      </c>
      <c r="M7" s="69">
        <v>10.0</v>
      </c>
      <c r="N7" s="70">
        <f t="shared" si="2"/>
        <v>0</v>
      </c>
      <c r="O7" s="26">
        <f>IFS(L7="Grupo 0",0,L7="Grupo 1",J7*D42,L7="Grupo 2",J7*D43,L7="Grupo 3",J7*D44,L7="Grupo 4",J7*D45,L7="Grupo 5",J7*D46)</f>
        <v>0</v>
      </c>
      <c r="P7" s="61">
        <f>(F7+O7)/D41</f>
        <v>0.5392483888</v>
      </c>
      <c r="Q7" s="50"/>
    </row>
    <row r="8">
      <c r="A8" s="51">
        <v>7.0</v>
      </c>
      <c r="B8" s="52"/>
      <c r="C8" s="52"/>
      <c r="D8" s="52"/>
      <c r="E8" s="76"/>
      <c r="F8" s="54">
        <f t="shared" si="1"/>
        <v>0</v>
      </c>
      <c r="G8" s="55">
        <f>IFS(L8="Grupo 0",0,L8="Grupo 1",F8/F42,L8="Grupo 2",F8/F43,L8="Grupo 3",F8/F44,L8="Grupo 4",F8/F45,L8="Grupo 5",F8/F46)</f>
        <v>0</v>
      </c>
      <c r="H8" s="55">
        <f>IFS(L8="Grupo 0",0,L8="Grupo 1",F8/E42,L8="Grupo 2",F8/E43,L8="Grupo 3",F8/E44,L8="Grupo 4",F8/E45,L8="Grupo 5",F8/E46)</f>
        <v>0</v>
      </c>
      <c r="I8" s="55">
        <f>IFS(L8="Grupo 0",0,L8="Grupo 1",M8/M42,L8="Grupo 2",M8/M43,L8="Grupo 3",M8/M44,L8="Grupo 4",M8/M45,L8="Grupo 5",M8/M46)</f>
        <v>0</v>
      </c>
      <c r="J8" s="56">
        <f>IFS(L8="Grupo 0",0,L8="Grupo 1",K8/K42,L8="Grupo 2",K8/K43,L8="Grupo 3",K8/K44,L8="Grupo 4",K8/K45,L8="Grupo 5",K8/K46)</f>
        <v>0</v>
      </c>
      <c r="K8" s="57">
        <f>IFS(L8="Grupo 0",0,L8="Grupo 1",(E42*I8-F8)*N8,L8="Grupo 2",(E43*I8-F8)*N8,L8="Grupo 3",(E44*I8-F8)*N8,L8="Grupo 4",(E45*I8-F8)*N8,L8="Grupo 5",(E46*I8-F8)*N8)</f>
        <v>0</v>
      </c>
      <c r="L8" s="58" t="s">
        <v>36</v>
      </c>
      <c r="M8" s="58"/>
      <c r="N8" s="59">
        <f t="shared" si="2"/>
        <v>1</v>
      </c>
      <c r="O8" s="60">
        <f>IFS(L8="Grupo 0",0,L8="Grupo 1",J8*D42,L8="Grupo 2",J8*D43,L8="Grupo 3",J8*D44,L8="Grupo 4",J8*D45,L8="Grupo 5",J8*D46)</f>
        <v>0</v>
      </c>
      <c r="P8" s="61">
        <f>(F8+O8)/D41</f>
        <v>0</v>
      </c>
      <c r="Q8" s="50"/>
    </row>
    <row r="9">
      <c r="A9" s="73">
        <v>8.0</v>
      </c>
      <c r="B9" s="63"/>
      <c r="C9" s="78"/>
      <c r="D9" s="63"/>
      <c r="E9" s="66"/>
      <c r="F9" s="27">
        <f t="shared" si="1"/>
        <v>0</v>
      </c>
      <c r="G9" s="24">
        <f>IFS(L9="Grupo 0",0,L9="Grupo 1",F9/F42,L9="Grupo 2",F9/F43,L9="Grupo 3",F9/F44,L9="Grupo 4",F9/F45,L9="Grupo 5",F9/F46)</f>
        <v>0</v>
      </c>
      <c r="H9" s="24">
        <f>IFS(L9="Grupo 0",0,L9="Grupo 1",F9/E42,L9="Grupo 2",F9/E43,L9="Grupo 3",F9/E44,L9="Grupo 4",F9/E45,L9="Grupo 5",F9/E46)</f>
        <v>0</v>
      </c>
      <c r="I9" s="24">
        <f>IFS(L9="Grupo 0",0,L9="Grupo 1",M9/M42,L9="Grupo 2",M9/M43,L9="Grupo 3",M9/M44,L9="Grupo 4",M9/M45,L9="Grupo 5",M9/M46)</f>
        <v>0</v>
      </c>
      <c r="J9" s="67">
        <f>IFS(L9="Grupo 0",0,L9="Grupo 1",K9/K42,L9="Grupo 2",K9/K43,L9="Grupo 3",K9/K44,L9="Grupo 4",K9/K45,L9="Grupo 5",K9/K46)</f>
        <v>0</v>
      </c>
      <c r="K9" s="68">
        <f>IFS(L9="Grupo 0",0,L9="Grupo 1",(E42*I9-F9)*N9,L9="Grupo 2",(E43*I9-F9)*N9,L9="Grupo 3",(E44*I9-F9)*N9,L9="Grupo 4",(E45*I9-F9)*N9,L9="Grupo 5",(E46*I9-F9)*N9)</f>
        <v>0</v>
      </c>
      <c r="L9" s="69" t="s">
        <v>36</v>
      </c>
      <c r="M9" s="69"/>
      <c r="N9" s="70">
        <f t="shared" si="2"/>
        <v>1</v>
      </c>
      <c r="O9" s="26">
        <f>IFS(L9="Grupo 0",0,L9="Grupo 1",J9*D42,L9="Grupo 2",J9*D43,L9="Grupo 3",J9*D44,L9="Grupo 4",J9*D45,L9="Grupo 5",J9*D46)</f>
        <v>0</v>
      </c>
      <c r="P9" s="61">
        <f>(F9+O9)/D41</f>
        <v>0</v>
      </c>
      <c r="Q9" s="50"/>
    </row>
    <row r="10">
      <c r="A10" s="51">
        <v>9.0</v>
      </c>
      <c r="B10" s="52"/>
      <c r="C10" s="52"/>
      <c r="D10" s="52"/>
      <c r="E10" s="76"/>
      <c r="F10" s="54">
        <f t="shared" si="1"/>
        <v>0</v>
      </c>
      <c r="G10" s="55">
        <f>IFS(L10="Grupo 0",0,L10="Grupo 1",F10/F42,L10="Grupo 2",F10/F43,L10="Grupo 3",F10/F44,L10="Grupo 4",F10/F45,L10="Grupo 5",F10/F46)</f>
        <v>0</v>
      </c>
      <c r="H10" s="55">
        <f>IFS(L10="Grupo 0",0,L10="Grupo 1",F10/E42,L10="Grupo 2",F10/E43,L10="Grupo 3",F10/E44,L10="Grupo 4",F10/E45,L10="Grupo 5",F10/E46)</f>
        <v>0</v>
      </c>
      <c r="I10" s="55">
        <f>IFS(L10="Grupo 0",0,L10="Grupo 1",M10/M42,L10="Grupo 2",M10/M43,L10="Grupo 3",M10/M44,L10="Grupo 4",M10/M45,L10="Grupo 5",M10/M46)</f>
        <v>0</v>
      </c>
      <c r="J10" s="56">
        <f>IFS(L10="Grupo 0",0,L10="Grupo 1",K10/K42,L10="Grupo 2",K10/K43,L10="Grupo 3",K10/K44,L10="Grupo 4",K10/K45,L10="Grupo 5",K10/K46)</f>
        <v>0</v>
      </c>
      <c r="K10" s="57">
        <f>IFS(L10="Grupo 0",0,L10="Grupo 1",(E42*I10-F10)*N10,L10="Grupo 2",(E43*I10-F10)*N10,L10="Grupo 3",(E44*I10-F10)*N10,L10="Grupo 4",(E45*I10-F10)*N10,L10="Grupo 5",(E46*I10-F10)*N10)</f>
        <v>0</v>
      </c>
      <c r="L10" s="58" t="s">
        <v>36</v>
      </c>
      <c r="M10" s="58"/>
      <c r="N10" s="59">
        <f t="shared" si="2"/>
        <v>1</v>
      </c>
      <c r="O10" s="60">
        <f>IFS(L10="Grupo 0",0,L10="Grupo 1",J10*D42,L10="Grupo 2",J10*D43,L10="Grupo 3",J10*D44,L10="Grupo 4",J10*D45,L10="Grupo 5",J10*D46)</f>
        <v>0</v>
      </c>
      <c r="P10" s="61">
        <f>(F10+O10)/D41</f>
        <v>0</v>
      </c>
      <c r="Q10" s="50"/>
    </row>
    <row r="11">
      <c r="A11" s="73">
        <v>10.0</v>
      </c>
      <c r="B11" s="63"/>
      <c r="C11" s="64"/>
      <c r="D11" s="63"/>
      <c r="E11" s="75"/>
      <c r="F11" s="27">
        <f t="shared" si="1"/>
        <v>0</v>
      </c>
      <c r="G11" s="24">
        <f>IFS(L11="Grupo 0",0,L11="Grupo 1",F11/F42,L11="Grupo 2",F11/F43,L11="Grupo 3",F11/F44,L11="Grupo 4",F11/F45,L11="Grupo 5",F11/F46)</f>
        <v>0</v>
      </c>
      <c r="H11" s="24">
        <f>IFS(L11="Grupo 0",0,L11="Grupo 1",F11/E42,L11="Grupo 2",F11/E43,L11="Grupo 3",F11/E44,L11="Grupo 4",F11/E45,L11="Grupo 5",F11/E46)</f>
        <v>0</v>
      </c>
      <c r="I11" s="24">
        <f>IFS(L11="Grupo 0",0,L11="Grupo 1",M11/M42,L11="Grupo 2",M11/M43,L11="Grupo 3",M11/M44,L11="Grupo 4",M11/M45,L11="Grupo 5",M11/M46)</f>
        <v>0</v>
      </c>
      <c r="J11" s="67">
        <f>IFS(L11="Grupo 0",0,L11="Grupo 1",K11/K42,L11="Grupo 2",K11/K43,L11="Grupo 3",K11/K44,L11="Grupo 4",K11/K45,L11="Grupo 5",K11/K46)</f>
        <v>0</v>
      </c>
      <c r="K11" s="68">
        <f>IFS(L11="Grupo 0",0,L11="Grupo 1",(E42*I11-F11)*N11,L11="Grupo 2",(E43*I11-F11)*N11,L11="Grupo 3",(E44*I10-F11)*N11,L11="Grupo 4",(E45*I11-F11)*N11,L11="Grupo 5",(E46*I11-F11)*N11)</f>
        <v>0</v>
      </c>
      <c r="L11" s="69" t="s">
        <v>36</v>
      </c>
      <c r="M11" s="69"/>
      <c r="N11" s="70">
        <f t="shared" si="2"/>
        <v>1</v>
      </c>
      <c r="O11" s="26">
        <f>IFS(L11="Grupo 0",0,L11="Grupo 1",J11*D42,L11="Grupo 2",J11*D43,L11="Grupo 3",J11*D44,L11="Grupo 4",J11*D45,L11="Grupo 5",J11*D46)</f>
        <v>0</v>
      </c>
      <c r="P11" s="61">
        <f>(F11+O11)/D41</f>
        <v>0</v>
      </c>
      <c r="Q11" s="50"/>
    </row>
    <row r="12" ht="15.0" customHeight="1">
      <c r="A12" s="51">
        <v>11.0</v>
      </c>
      <c r="B12" s="52"/>
      <c r="C12" s="52"/>
      <c r="D12" s="52"/>
      <c r="E12" s="71"/>
      <c r="F12" s="54">
        <f t="shared" si="1"/>
        <v>0</v>
      </c>
      <c r="G12" s="55">
        <f>IFS(L12="Grupo 0",0,L12="Grupo 1",F12/F42,L12="Grupo 2",F12/F43,L12="Grupo 3",F12/F44,L12="Grupo 4",F12/F45,L12="Grupo 5",F12/F46)</f>
        <v>0</v>
      </c>
      <c r="H12" s="55">
        <f>IFS(L12="Grupo 0",0,L12="Grupo 1",F12/E42,L12="Grupo 2",F12/E43,L12="Grupo 3",F12/E44,L12="Grupo 4",F12/E45,L12="Grupo 5",F12/E46)</f>
        <v>0</v>
      </c>
      <c r="I12" s="55">
        <f>IFS(L12="Grupo 0",0,L12="Grupo 1",M12/M42,L12="Grupo 2",M12/M43,L12="Grupo 3",M12/M44,L12="Grupo 4",M12/M45,L12="Grupo 5",M12/M46)</f>
        <v>0</v>
      </c>
      <c r="J12" s="56">
        <f>IFS(L12="Grupo 0",0,L12="Grupo 1",K12/K42,L12="Grupo 2",K12/K43,L12="Grupo 3",K12/K44,L12="Grupo 4",K12/K45,L12="Grupo 5",K12/K46)</f>
        <v>0</v>
      </c>
      <c r="K12" s="57">
        <f>IFS(L12="Grupo 0",0,L12="Grupo 1",(E42*I12-F12)*N12,L12="Grupo 2",(E43*I12-F12)*N12,L12="Grupo 3",(E44*I12-F12)*N12,L12="Grupo 4",(E45*I12-F12)*N12,L12="Grupo 5",(E46*I12-F12)*N12)</f>
        <v>0</v>
      </c>
      <c r="L12" s="58" t="s">
        <v>36</v>
      </c>
      <c r="M12" s="58"/>
      <c r="N12" s="59">
        <f t="shared" si="2"/>
        <v>1</v>
      </c>
      <c r="O12" s="60">
        <f>IFS(L12="Grupo 0",0,L12="Grupo 1",J12*D42,L12="Grupo 2",J12*D43,L12="Grupo 3",J12*D44,L12="Grupo 4",J12*D45,L12="Grupo 5",J12*D46)</f>
        <v>0</v>
      </c>
      <c r="P12" s="61">
        <f>(F12+O12)/D41</f>
        <v>0</v>
      </c>
      <c r="Q12" s="50"/>
    </row>
    <row r="13">
      <c r="A13" s="73">
        <v>12.0</v>
      </c>
      <c r="B13" s="79" t="s">
        <v>40</v>
      </c>
      <c r="C13" s="80">
        <f>IFERROR(__xludf.DUMMYFUNCTION("GOOGLEFINANCE(""CURRENCY:BTCUSD"")"),71027.81)</f>
        <v>71027.81</v>
      </c>
      <c r="D13" s="81">
        <v>0.00533</v>
      </c>
      <c r="E13" s="82">
        <f>IFERROR(__xludf.DUMMYFUNCTION("GOOGLEFINANCE(""CURRENCY:BTCBRL"")"),373883.289)</f>
        <v>373883.289</v>
      </c>
      <c r="F13" s="27">
        <f t="shared" si="1"/>
        <v>1992.79793</v>
      </c>
      <c r="G13" s="24">
        <f>IFS(L13="Grupo 0",0,L13="Grupo 1",F13/F42,L13="Grupo 2",F13/F43,L13="Grupo 3",F13/F44,L13="Grupo 4",F13/F45,L13="Grupo 5",F13/F46)</f>
        <v>1</v>
      </c>
      <c r="H13" s="24">
        <f>IFS(L13="Grupo 0",0,L13="Grupo 1",F13/E42,L13="Grupo 2",F13/E43,L13="Grupo 3",F13/E44,L13="Grupo 4",F13/E45,L13="Grupo 5",F13/E46)</f>
        <v>0.6715014821</v>
      </c>
      <c r="I13" s="24">
        <f>IFS(L13="Grupo 0",0,L13="Grupo 1",M13/M42,L13="Grupo 2",M13/M43,L13="Grupo 3",M13/M44,L13="Grupo 4",M13/M45,L13="Grupo 5",M13/M46)</f>
        <v>1</v>
      </c>
      <c r="J13" s="67">
        <f>IFS(L13="Grupo 0",0,L13="Grupo 1",K13/K42,L13="Grupo 2",K13/K43,L13="Grupo 3",K13/K44,L13="Grupo 4",K13/K45,L13="Grupo 5",K13/K46)</f>
        <v>1</v>
      </c>
      <c r="K13" s="68">
        <f>IFS(L13="Grupo 0",0,L13="Grupo 1",(E42*I13-F13)*N13,L13="Grupo 2",(E43*I13-F13)*N13,L13="Grupo 3",(E44*I13-F13)*N13,L13="Grupo 4",(E45*I13-F13)*N13,L13="Grupo 5",(E46*I13-F13)*N13)</f>
        <v>974.8767265</v>
      </c>
      <c r="L13" s="69" t="s">
        <v>41</v>
      </c>
      <c r="M13" s="69">
        <v>10.0</v>
      </c>
      <c r="N13" s="70">
        <f t="shared" si="2"/>
        <v>1</v>
      </c>
      <c r="O13" s="26">
        <f>IFS(L13="Grupo 0",0,L13="Grupo 1",J13*D42,L13="Grupo 2",J13*D43,L13="Grupo 3",J13*D44,L13="Grupo 4",J13*D45,L13="Grupo 5",J13*D46)</f>
        <v>974.8767265</v>
      </c>
      <c r="P13" s="61">
        <f>(F13+O13)/D41</f>
        <v>0.1633603346</v>
      </c>
      <c r="Q13" s="50"/>
    </row>
    <row r="14">
      <c r="A14" s="51">
        <v>13.0</v>
      </c>
      <c r="B14" s="52"/>
      <c r="C14" s="52"/>
      <c r="D14" s="52"/>
      <c r="E14" s="71"/>
      <c r="F14" s="54">
        <f t="shared" si="1"/>
        <v>0</v>
      </c>
      <c r="G14" s="55">
        <f>IFS(L14="Grupo 0",0,L14="Grupo 1",F14/F42,L14="Grupo 2",F14/F43,L14="Grupo 3",F14/F44,L14="Grupo 4",F14/F45,L14="Grupo 5",F14/F46)</f>
        <v>0</v>
      </c>
      <c r="H14" s="55">
        <f>IFS(L14="Grupo 0",0,L14="Grupo 1",F14/E42,L14="Grupo 2",F14/E43,L14="Grupo 3",F14/E44,L14="Grupo 4",F14/E45,L14="Grupo 5",F14/E46)</f>
        <v>0</v>
      </c>
      <c r="I14" s="55">
        <f>IFS(L14="Grupo 0",0,L14="Grupo 1",M14/M42,L14="Grupo 2",M14/M43,L14="Grupo 3",M14/M44,L14="Grupo 4",M14/M45,L14="Grupo 5",M14/M46)</f>
        <v>0</v>
      </c>
      <c r="J14" s="56">
        <f>IFS(L14="Grupo 0",0,L14="Grupo 1",K14/K42,L14="Grupo 2",K14/K43,L14="Grupo 3",K14/K44,L14="Grupo 4",K14/K45,L14="Grupo 5",K14/K46)</f>
        <v>0</v>
      </c>
      <c r="K14" s="57">
        <f>IFS(L14="Grupo 0",0,L14="Grupo 1",(E42*I14-F14)*N14,L14="Grupo 2",(E43*I14-F14)*N14,L14="Grupo 3",(E44*I14-F14)*N14,L14="Grupo 4",(E45*I14-F14)*N14,L14="Grupo 5",(E46*I14-F14)*N14)</f>
        <v>0</v>
      </c>
      <c r="L14" s="58" t="s">
        <v>36</v>
      </c>
      <c r="M14" s="58"/>
      <c r="N14" s="59">
        <f t="shared" si="2"/>
        <v>1</v>
      </c>
      <c r="O14" s="60">
        <f>IFS(L14="Grupo 0",0,L14="Grupo 1",J14*D42,L14="Grupo 2",J14*D43,L14="Grupo 3",J14*D44,L14="Grupo 4",J14*D45,L14="Grupo 5",J14*D46)</f>
        <v>0</v>
      </c>
      <c r="P14" s="61">
        <f>(F14+O14)/D41</f>
        <v>0</v>
      </c>
      <c r="Q14" s="50"/>
    </row>
    <row r="15">
      <c r="A15" s="73">
        <v>14.0</v>
      </c>
      <c r="B15" s="63"/>
      <c r="C15" s="64"/>
      <c r="D15" s="63"/>
      <c r="E15" s="75"/>
      <c r="F15" s="27">
        <f t="shared" si="1"/>
        <v>0</v>
      </c>
      <c r="G15" s="24">
        <f>IFS(L15="Grupo 0",0,L15="Grupo 1",F15/F42,L15="Grupo 2",F15/F43,L15="Grupo 3",F15/F44,L15="Grupo 4",F15/F45,L15="Grupo 5",F15/F46)</f>
        <v>0</v>
      </c>
      <c r="H15" s="24">
        <f>IFS(L15="Grupo 0",0,L15="Grupo 1",F15/E42,L15="Grupo 2",F15/E43,L15="Grupo 3",F15/E44,L15="Grupo 4",F15/E45,L15="Grupo 5",F15/E46)</f>
        <v>0</v>
      </c>
      <c r="I15" s="24">
        <f>IFS(L15="Grupo 0",0,L15="Grupo 1",M15/M42,L15="Grupo 2",M15/M43,L15="Grupo 3",M15/M44,L15="Grupo 4",M15/M45,L15="Grupo 5",M15/M46)</f>
        <v>0</v>
      </c>
      <c r="J15" s="67">
        <f>IFS(L15="Grupo 0",0,L15="Grupo 1",K15/K42,L15="Grupo 2",K15/K43,L15="Grupo 3",K15/K44,L15="Grupo 4",K15/K45,L15="Grupo 5",K15/K46)</f>
        <v>0</v>
      </c>
      <c r="K15" s="68">
        <f>IFS(L15="Grupo 0",0,L15="Grupo 1",(E42*I15-F15)*N15,L15="Grupo 2",(E43*I15-F15)*N15,L15="Grupo 3",(E44*I15-F15)*N15,L15="Grupo 4",(E45*I15-F15)*N15,L15="Grupo 5",(E46*I15-F15)*N15)</f>
        <v>0</v>
      </c>
      <c r="L15" s="69" t="s">
        <v>36</v>
      </c>
      <c r="M15" s="69"/>
      <c r="N15" s="70">
        <f t="shared" si="2"/>
        <v>1</v>
      </c>
      <c r="O15" s="26">
        <f>IFS(L15="Grupo 0",0,L15="Grupo 1",J15*D42,L15="Grupo 2",J15*D43,L15="Grupo 3",J15*D44,L15="Grupo 4",J15*D45,L15="Grupo 5",J15*D46)</f>
        <v>0</v>
      </c>
      <c r="P15" s="61">
        <f>(F15+O15)/D41</f>
        <v>0</v>
      </c>
      <c r="Q15" s="50"/>
    </row>
    <row r="16">
      <c r="A16" s="51">
        <v>15.0</v>
      </c>
      <c r="B16" s="52"/>
      <c r="C16" s="52"/>
      <c r="D16" s="52"/>
      <c r="E16" s="71"/>
      <c r="F16" s="54">
        <f t="shared" si="1"/>
        <v>0</v>
      </c>
      <c r="G16" s="55">
        <f>IFS(L16="Grupo 0",0,L16="Grupo 1",F16/F42,L16="Grupo 2",F16/F43,L16="Grupo 3",F16/F44,L16="Grupo 4",F16/F45,L16="Grupo 5",F16/F46)</f>
        <v>0</v>
      </c>
      <c r="H16" s="55">
        <f>IFS(L16="Grupo 0",0,L16="Grupo 1",F16/E42,L16="Grupo 2",F16/E43,L16="Grupo 3",F16/E44,L16="Grupo 4",F16/E45,L16="Grupo 5",F16/E46)</f>
        <v>0</v>
      </c>
      <c r="I16" s="55">
        <f>IFS(L16="Grupo 0",0,L16="Grupo 1",M16/M42,L16="Grupo 2",M16/M43,L16="Grupo 3",M16/M44,L16="Grupo 4",M16/M45,L16="Grupo 5",M16/M46)</f>
        <v>0</v>
      </c>
      <c r="J16" s="56">
        <f>IFS(L16="Grupo 0",0,L16="Grupo 1",K16/K42,L16="Grupo 2",K16/K43,L16="Grupo 3",K16/K44,L16="Grupo 4",K16/K45,L16="Grupo 5",K16/K46)</f>
        <v>0</v>
      </c>
      <c r="K16" s="57">
        <f>IFS(L16="Grupo 0",0,L16="Grupo 1",(E42*I16-F16)*N16,L16="Grupo 2",(E43*I16-F16)*N16,L16="Grupo 3",(E44*I16-F16)*N16,L16="Grupo 4",(E45*I16-F16)*N16,L16="Grupo 5",(E46*I16-F16)*N16)</f>
        <v>0</v>
      </c>
      <c r="L16" s="58" t="s">
        <v>36</v>
      </c>
      <c r="M16" s="58"/>
      <c r="N16" s="59">
        <f t="shared" si="2"/>
        <v>1</v>
      </c>
      <c r="O16" s="60">
        <f>IFS(L16="Grupo 0",0,L16="Grupo 1",J16*D42,L16="Grupo 2",J16*D43,L16="Grupo 3",J16*D44,L16="Grupo 4",J16*D45,L16="Grupo 5",J16*D46)</f>
        <v>0</v>
      </c>
      <c r="P16" s="61">
        <f>(F16+O16)/D41</f>
        <v>0</v>
      </c>
      <c r="Q16" s="50"/>
    </row>
    <row r="17">
      <c r="A17" s="73">
        <v>16.0</v>
      </c>
      <c r="B17" s="63"/>
      <c r="C17" s="64"/>
      <c r="D17" s="63"/>
      <c r="E17" s="75"/>
      <c r="F17" s="27">
        <f t="shared" si="1"/>
        <v>0</v>
      </c>
      <c r="G17" s="24">
        <f>IFS(L17="Grupo 0",0,L17="Grupo 1",F17/F42,L17="Grupo 2",F17/F43,L17="Grupo 3",F17/F44,L17="Grupo 4",F17/F45,L17="Grupo 5",F17/F46)</f>
        <v>0</v>
      </c>
      <c r="H17" s="24">
        <f>IFS(L17="Grupo 0",0,L17="Grupo 1",F17/E42,L17="Grupo 2",F17/E43,L17="Grupo 3",F17/E44,L17="Grupo 4",F17/E45,L17="Grupo 5",F17/E46)</f>
        <v>0</v>
      </c>
      <c r="I17" s="24">
        <f>IFS(L17="Grupo 0",0,L17="Grupo 1",M17/M42,L17="Grupo 2",M17/M43,L17="Grupo 3",M17/M44,L17="Grupo 4",M17/M45,L17="Grupo 5",M17/M46)</f>
        <v>0</v>
      </c>
      <c r="J17" s="67">
        <f>IFS(L17="Grupo 0",0,L17="Grupo 1",K17/K42,L17="Grupo 2",K17/K43,L17="Grupo 3",K17/K44,L17="Grupo 4",K17/K45,L17="Grupo 5",K17/K46)</f>
        <v>0</v>
      </c>
      <c r="K17" s="68">
        <f>IFS(L17="Grupo 0",0,L17="Grupo 1",(E42*I17-F17)*N17,L17="Grupo 2",(E43*I17-F17)*N17,L17="Grupo 3",(E44*I17-F17)*N17,L17="Grupo 4",(E45*I17-F17)*N17,L17="Grupo 5",(E46*I17-F17)*N17)</f>
        <v>0</v>
      </c>
      <c r="L17" s="69" t="s">
        <v>36</v>
      </c>
      <c r="M17" s="69"/>
      <c r="N17" s="70">
        <f t="shared" si="2"/>
        <v>1</v>
      </c>
      <c r="O17" s="26">
        <f>IFS(L17="Grupo 0",0,L17="Grupo 1",J17*D42,L17="Grupo 2",J17*D43,L17="Grupo 3",J17*D44,L17="Grupo 4",J17*D45,L17="Grupo 5",J17*D46)</f>
        <v>0</v>
      </c>
      <c r="P17" s="61">
        <f>(F17+O17)/D41</f>
        <v>0</v>
      </c>
      <c r="Q17" s="50"/>
    </row>
    <row r="18">
      <c r="A18" s="51">
        <v>17.0</v>
      </c>
      <c r="B18" s="52"/>
      <c r="C18" s="52"/>
      <c r="D18" s="52"/>
      <c r="E18" s="71"/>
      <c r="F18" s="54">
        <f t="shared" si="1"/>
        <v>0</v>
      </c>
      <c r="G18" s="55">
        <f>IFS(L18="Grupo 0",0,L18="Grupo 1",F18/F42,L18="Grupo 2",F18/F43,L18="Grupo 3",F18/F44,L18="Grupo 4",F18/F45,L18="Grupo 5",F18/F46)</f>
        <v>0</v>
      </c>
      <c r="H18" s="55">
        <f>IFS(L18="Grupo 0",0,L18="Grupo 1",F18/E42,L18="Grupo 2",F18/E43,L18="Grupo 3",F18/E44,L18="Grupo 4",F18/E45,L18="Grupo 5",F18/E46)</f>
        <v>0</v>
      </c>
      <c r="I18" s="55">
        <f>IFS(L18="Grupo 0",0,L18="Grupo 1",M18/M42,L18="Grupo 2",M18/M43,L18="Grupo 3",M18/M44,L18="Grupo 4",M18/M45,L18="Grupo 5",M18/M46)</f>
        <v>0</v>
      </c>
      <c r="J18" s="56">
        <f>IFS(L18="Grupo 0",0,L18="Grupo 1",K18/K42,L18="Grupo 2",K18/K43,L18="Grupo 3",K18/K44,L18="Grupo 4",K18/K45,L18="Grupo 5",K18/K46)</f>
        <v>0</v>
      </c>
      <c r="K18" s="57">
        <f>IFS(L18="Grupo 0",0,L18="Grupo 1",(E42*I18-F18)*N18,L18="Grupo 2",(E43*I18-F18)*N18,L18="Grupo 3",(E44*I18-F18)*N18,L18="Grupo 4",(E45*I18-F18)*N18,L18="Grupo 5",(E46*I18-F18)*N18)</f>
        <v>0</v>
      </c>
      <c r="L18" s="58" t="s">
        <v>36</v>
      </c>
      <c r="M18" s="58"/>
      <c r="N18" s="59">
        <f t="shared" si="2"/>
        <v>1</v>
      </c>
      <c r="O18" s="60">
        <f>IFS(L18="Grupo 0",0,L18="Grupo 1",J18*D42,L18="Grupo 2",J18*D43,L18="Grupo 3",J18*D44,L18="Grupo 4",J18*D45,L18="Grupo 5",J18*D46)</f>
        <v>0</v>
      </c>
      <c r="P18" s="61">
        <f>(F18+O18)/D41</f>
        <v>0</v>
      </c>
      <c r="Q18" s="50"/>
    </row>
    <row r="19" ht="15.0" customHeight="1">
      <c r="A19" s="73">
        <v>18.0</v>
      </c>
      <c r="B19" s="63"/>
      <c r="C19" s="64"/>
      <c r="D19" s="63"/>
      <c r="E19" s="75"/>
      <c r="F19" s="27">
        <f t="shared" si="1"/>
        <v>0</v>
      </c>
      <c r="G19" s="24">
        <f>IFS(L19="Grupo 0",0,L19="Grupo 1",F19/F42,L19="Grupo 2",F19/F43,L19="Grupo 3",F19/F44,L19="Grupo 4",F19/F45,L19="Grupo 5",F19/F46)</f>
        <v>0</v>
      </c>
      <c r="H19" s="24">
        <f>IFS(L19="Grupo 0",0,L19="Grupo 1",F19/E42,L19="Grupo 2",F19/E43,L19="Grupo 3",F19/E44,L19="Grupo 4",F19/E45,L19="Grupo 5",F19/E46)</f>
        <v>0</v>
      </c>
      <c r="I19" s="24">
        <f>IFS(L19="Grupo 0",0,L19="Grupo 1",M19/M42,L19="Grupo 2",M19/M43,L19="Grupo 3",M19/M44,L19="Grupo 4",M19/M45,L19="Grupo 5",M19/M46)</f>
        <v>0</v>
      </c>
      <c r="J19" s="67">
        <f>IFS(L19="Grupo 0",0,L19="Grupo 1",K19/K42,L19="Grupo 2",K19/K43,L19="Grupo 3",K19/K44,L19="Grupo 4",K19/K45,L19="Grupo 5",K19/K46)</f>
        <v>0</v>
      </c>
      <c r="K19" s="68">
        <f>IFS(L19="Grupo 0",0,L19="Grupo 1",(E42*I19-F19)*N19,L19="Grupo 2",(E43*I19-F19)*N19,L19="Grupo 3",(E44*I19-F19)*N19,L19="Grupo 4",(E45*I19-F19)*N19,L19="Grupo 5",(E46*I19-F19)*N19)</f>
        <v>0</v>
      </c>
      <c r="L19" s="69" t="s">
        <v>36</v>
      </c>
      <c r="M19" s="69"/>
      <c r="N19" s="70">
        <f t="shared" si="2"/>
        <v>1</v>
      </c>
      <c r="O19" s="26">
        <f>IFS(L19="Grupo 0",0,L19="Grupo 1",J19*D42,L19="Grupo 2",J19*D43,L19="Grupo 3",J19*D44,L19="Grupo 4",J19*D45,L19="Grupo 5",J19*D46)</f>
        <v>0</v>
      </c>
      <c r="P19" s="61">
        <f>(F19+O19)/D41</f>
        <v>0</v>
      </c>
      <c r="Q19" s="50"/>
    </row>
    <row r="20">
      <c r="A20" s="51">
        <v>19.0</v>
      </c>
      <c r="B20" s="52"/>
      <c r="C20" s="52"/>
      <c r="D20" s="52"/>
      <c r="E20" s="71"/>
      <c r="F20" s="54">
        <f t="shared" si="1"/>
        <v>0</v>
      </c>
      <c r="G20" s="55">
        <f>IFS(L20="Grupo 0",0,L20="Grupo 1",F20/F42,L20="Grupo 2",F20/F43,L20="Grupo 3",F20/F44,L20="Grupo 4",F20/F45,L20="Grupo 5",F20/F46)</f>
        <v>0</v>
      </c>
      <c r="H20" s="55">
        <f>IFS(L20="Grupo 0",0,L20="Grupo 1",F20/E42,L20="Grupo 2",F20/E43,L20="Grupo 3",F20/E44,L20="Grupo 4",F20/E45,L20="Grupo 5",F20/E46)</f>
        <v>0</v>
      </c>
      <c r="I20" s="55">
        <f>IFS(L20="Grupo 0",0,L20="Grupo 1",M20/M42,L20="Grupo 2",M20/M43,L20="Grupo 3",M20/M44,L20="Grupo 4",M20/M45,L20="Grupo 5",M20/M46)</f>
        <v>0</v>
      </c>
      <c r="J20" s="56">
        <f>IFS(L20="Grupo 0",0,L20="Grupo 1",K20/K42,L20="Grupo 2",K20/K43,L20="Grupo 3",K20/K44,L20="Grupo 4",K20/K45,L20="Grupo 5",K20/K46)</f>
        <v>0</v>
      </c>
      <c r="K20" s="57">
        <f>IFS(L20="Grupo 0",0,L20="Grupo 1",(E42*I20-F20)*N20,L20="Grupo 2",(E43*I20-F20)*N20,L20="Grupo 3",(E44*I20-F20)*N20,L20="Grupo 4",(E45*I20-F20)*N20,L20="Grupo 5",(E46*I20-F20)*N20)</f>
        <v>0</v>
      </c>
      <c r="L20" s="58" t="s">
        <v>36</v>
      </c>
      <c r="M20" s="58"/>
      <c r="N20" s="59">
        <f t="shared" si="2"/>
        <v>1</v>
      </c>
      <c r="O20" s="60">
        <f>IFS(L20="Grupo 0",0,L20="Grupo 1",J20*D42,L20="Grupo 2",J20*D43,L20="Grupo 3",J20*D44,L20="Grupo 4",J20*D45,L20="Grupo 5",J20*D46)</f>
        <v>0</v>
      </c>
      <c r="P20" s="61">
        <f>(F20+O20)/D41</f>
        <v>0</v>
      </c>
      <c r="Q20" s="50"/>
    </row>
    <row r="21">
      <c r="A21" s="73">
        <v>20.0</v>
      </c>
      <c r="B21" s="63"/>
      <c r="C21" s="64"/>
      <c r="D21" s="63"/>
      <c r="E21" s="75"/>
      <c r="F21" s="27">
        <f t="shared" si="1"/>
        <v>0</v>
      </c>
      <c r="G21" s="24">
        <f>IFS(L21="Grupo 0",0,L21="Grupo 1",F21/F42,L21="Grupo 2",F21/F43,L21="Grupo 3",F21/F44,L21="Grupo 4",F21/F45,L21="Grupo 5",F21/F46)</f>
        <v>0</v>
      </c>
      <c r="H21" s="24">
        <f>IFS(L21="Grupo 0",0,L21="Grupo 1",F21/E42,L21="Grupo 2",F21/E43,L21="Grupo 3",F21/E44,L21="Grupo 4",F21/E45,L21="Grupo 5",F21/E46)</f>
        <v>0</v>
      </c>
      <c r="I21" s="24">
        <f>IFS(L21="Grupo 0",0,L21="Grupo 1",M21/M42,L21="Grupo 2",M21/M43,L21="Grupo 3",M21/M44,L21="Grupo 4",M21/M45,L21="Grupo 5",M21/M46)</f>
        <v>0</v>
      </c>
      <c r="J21" s="67">
        <f>IFS(L21="Grupo 0",0,L21="Grupo 1",K21/K42,L21="Grupo 2",K21/K43,L21="Grupo 3",K21/K44,L21="Grupo 4",K21/K45,L21="Grupo 5",K21/K46)</f>
        <v>0</v>
      </c>
      <c r="K21" s="68">
        <f>IFS(L21="Grupo 0",0,L21="Grupo 1",(E42*I21-F21)*N21,L21="Grupo 2",(E43*I21-F21)*N21,L21="Grupo 3",(E44*I20-F21)*N21,L21="Grupo 4",(E45*I21-F21)*N21,L21="Grupo 5",(E46*I21-F21)*N21)</f>
        <v>0</v>
      </c>
      <c r="L21" s="69" t="s">
        <v>36</v>
      </c>
      <c r="M21" s="69"/>
      <c r="N21" s="70">
        <f t="shared" si="2"/>
        <v>1</v>
      </c>
      <c r="O21" s="26">
        <f>IFS(L21="Grupo 0",0,L21="Grupo 1",J21*D42,L21="Grupo 2",J21*D43,L21="Grupo 3",J21*D44,L21="Grupo 4",J21*D45,L21="Grupo 5",J21*D46)</f>
        <v>0</v>
      </c>
      <c r="P21" s="61">
        <f>(F21+O21)/D41</f>
        <v>0</v>
      </c>
      <c r="Q21" s="50"/>
    </row>
    <row r="22">
      <c r="A22" s="51">
        <v>21.0</v>
      </c>
      <c r="B22" s="52"/>
      <c r="C22" s="83"/>
      <c r="D22" s="52"/>
      <c r="E22" s="71"/>
      <c r="F22" s="54">
        <f t="shared" si="1"/>
        <v>0</v>
      </c>
      <c r="G22" s="55">
        <f>IFS(L22="Grupo 0",0,L22="Grupo 1",F22/F42,L22="Grupo 2",F22/F43,L22="Grupo 3",F22/F44,L22="Grupo 4",F22/F45,L22="Grupo 5",F22/F46)</f>
        <v>0</v>
      </c>
      <c r="H22" s="55">
        <f>IFS(L22="Grupo 0",0,L22="Grupo 1",F22/E42,L22="Grupo 2",F22/E43,L22="Grupo 3",F22/E44,L22="Grupo 4",F22/E45,L22="Grupo 5",F22/E46)</f>
        <v>0</v>
      </c>
      <c r="I22" s="55">
        <f>IFS(L22="Grupo 0",0,L22="Grupo 1",M22/M42,L22="Grupo 2",M22/M43,L22="Grupo 3",M22/M44,L22="Grupo 4",M22/M45,L22="Grupo 5",M22/M46)</f>
        <v>0</v>
      </c>
      <c r="J22" s="56">
        <f>IFS(L22="Grupo 0",0,L22="Grupo 1",K22/K42,L22="Grupo 2",K22/K43,L22="Grupo 3",K22/K44,L22="Grupo 4",K22/K45,L22="Grupo 5",K22/K46)</f>
        <v>0</v>
      </c>
      <c r="K22" s="57">
        <f>IFS(L22="Grupo 0",0,L22="Grupo 1",(E42*I22-F22)*N22,L22="Grupo 2",(E43*I22-F22)*N22,L22="Grupo 3",(E44*I22-F22)*N22,L22="Grupo 4",(E45*I22-F22)*N22,L22="Grupo 5",(E46*I22-F22)*N22)</f>
        <v>0</v>
      </c>
      <c r="L22" s="84" t="s">
        <v>36</v>
      </c>
      <c r="M22" s="84"/>
      <c r="N22" s="59">
        <f t="shared" si="2"/>
        <v>1</v>
      </c>
      <c r="O22" s="60">
        <f>IFS(L22="Grupo 0",0,L22="Grupo 1",J22*D42,L22="Grupo 2",J22*D43,L22="Grupo 3",J22*D44,L22="Grupo 4",J22*D45,L22="Grupo 5",J22*D46)</f>
        <v>0</v>
      </c>
      <c r="P22" s="61"/>
      <c r="Q22" s="50"/>
    </row>
    <row r="23">
      <c r="A23" s="73">
        <v>22.0</v>
      </c>
      <c r="B23" s="63"/>
      <c r="C23" s="64"/>
      <c r="D23" s="63"/>
      <c r="E23" s="75"/>
      <c r="F23" s="27">
        <f t="shared" si="1"/>
        <v>0</v>
      </c>
      <c r="G23" s="24">
        <f>IFS(L23="Grupo 0",0,L23="Grupo 1",F23/F42,L23="Grupo 2",F23/F43,L23="Grupo 3",F23/F44,L23="Grupo 4",F23/F45,L23="Grupo 5",F23/F46)</f>
        <v>0</v>
      </c>
      <c r="H23" s="24">
        <f>IFS(L23="Grupo 0",0,L23="Grupo 1",F23/E42,L23="Grupo 2",F23/E43,L23="Grupo 3",F23/E44,L23="Grupo 4",F23/E45,L23="Grupo 5",F23/E46)</f>
        <v>0</v>
      </c>
      <c r="I23" s="24">
        <f>IFS(L23="Grupo 0",0,L23="Grupo 1",M23/M42,L23="Grupo 2",M23/M43,L23="Grupo 3",M23/M44,L23="Grupo 4",M23/M45,L23="Grupo 5",M23/M46)</f>
        <v>0</v>
      </c>
      <c r="J23" s="67">
        <f>IFS(L23="Grupo 0",0,L23="Grupo 1",K23/K42,L23="Grupo 2",K23/K43,L23="Grupo 3",K23/K44,L23="Grupo 4",K23/K45,L23="Grupo 5",K23/K46)</f>
        <v>0</v>
      </c>
      <c r="K23" s="68">
        <f>IFS(L23="Grupo 0",0,L23="Grupo 1",(E42*I23-F23)*N23,L23="Grupo 2",(E43*I23-F23)*N23,L23="Grupo 3",(E44*I23-F23)*N23,L23="Grupo 4",(E45*I23-F23)*N23,L23="Grupo 5",(E46*I23-F23)*N23)</f>
        <v>0</v>
      </c>
      <c r="L23" s="85" t="s">
        <v>36</v>
      </c>
      <c r="M23" s="85"/>
      <c r="N23" s="70">
        <f t="shared" si="2"/>
        <v>1</v>
      </c>
      <c r="O23" s="26">
        <f>IFS(L23="Grupo 0",0,L23="Grupo 1",J23*D42,L23="Grupo 2",J23*D43,L23="Grupo 3",J23*D44,L23="Grupo 4",J23*D45,L23="Grupo 5",J23*D46)</f>
        <v>0</v>
      </c>
      <c r="P23" s="61"/>
      <c r="Q23" s="50"/>
    </row>
    <row r="24">
      <c r="A24" s="51">
        <v>23.0</v>
      </c>
      <c r="B24" s="52"/>
      <c r="C24" s="83"/>
      <c r="D24" s="52"/>
      <c r="E24" s="71"/>
      <c r="F24" s="54">
        <f t="shared" si="1"/>
        <v>0</v>
      </c>
      <c r="G24" s="55">
        <f>IFS(L24="Grupo 0",0,L24="Grupo 1",F24/F42,L24="Grupo 2",F24/F43,L24="Grupo 3",F24/F44,L24="Grupo 4",F24/F45,L24="Grupo 5",F24/F46)</f>
        <v>0</v>
      </c>
      <c r="H24" s="55">
        <f>IFS(L24="Grupo 0",0,L24="Grupo 1",F24/E42,L24="Grupo 2",F24/E43,L24="Grupo 3",F24/E44,L24="Grupo 4",F24/E45,L24="Grupo 5",F24/E46)</f>
        <v>0</v>
      </c>
      <c r="I24" s="55">
        <f>IFS(L24="Grupo 0",0,L24="Grupo 1",M24/M42,L24="Grupo 2",M24/M43,L24="Grupo 3",M24/M44,L24="Grupo 4",M24/M45,L24="Grupo 5",M24/M46)</f>
        <v>0</v>
      </c>
      <c r="J24" s="56">
        <f>IFS(L24="Grupo 0",0,L24="Grupo 1",K24/K42,L24="Grupo 2",K24/K43,L24="Grupo 3",K24/K44,L24="Grupo 4",K24/K45,L24="Grupo 5",K24/K46)</f>
        <v>0</v>
      </c>
      <c r="K24" s="57">
        <f>IFS(L24="Grupo 0",0,L24="Grupo 1",(E42*I24-F24)*N24,L24="Grupo 2",(E43*I24-F24)*N24,L24="Grupo 3",(E44*I24-F24)*N24,L24="Grupo 4",(E45*I24-F24)*N24,L24="Grupo 5",(E46*I24-F24)*N24)</f>
        <v>0</v>
      </c>
      <c r="L24" s="84" t="s">
        <v>36</v>
      </c>
      <c r="M24" s="84"/>
      <c r="N24" s="59">
        <f t="shared" si="2"/>
        <v>1</v>
      </c>
      <c r="O24" s="60">
        <f>IFS(L24="Grupo 0",0,L24="Grupo 1",J24*D42,L24="Grupo 2",J24*D43,L24="Grupo 3",J24*D44,L24="Grupo 4",J24*D45,L24="Grupo 5",J24*D46)</f>
        <v>0</v>
      </c>
      <c r="P24" s="61"/>
      <c r="Q24" s="50"/>
    </row>
    <row r="25">
      <c r="A25" s="73">
        <v>24.0</v>
      </c>
      <c r="B25" s="63"/>
      <c r="C25" s="64"/>
      <c r="D25" s="63"/>
      <c r="E25" s="75"/>
      <c r="F25" s="27">
        <f t="shared" si="1"/>
        <v>0</v>
      </c>
      <c r="G25" s="24">
        <f>IFS(L25="Grupo 0",0,L25="Grupo 1",F25/F42,L25="Grupo 2",F25/F43,L25="Grupo 3",F25/F44,L25="Grupo 4",F25/F45,L25="Grupo 5",F25/F46)</f>
        <v>0</v>
      </c>
      <c r="H25" s="24">
        <f>IFS(L25="Grupo 0",0,L25="Grupo 1",F25/E42,L25="Grupo 2",F25/E43,L25="Grupo 3",F25/E44,L25="Grupo 4",F25/E45,L25="Grupo 5",F25/E46)</f>
        <v>0</v>
      </c>
      <c r="I25" s="24">
        <f>IFS(L25="Grupo 0",0,L25="Grupo 1",M25/M42,L25="Grupo 2",M25/M43,L25="Grupo 3",M25/M44,L25="Grupo 4",M25/M45,L25="Grupo 5",M25/M46)</f>
        <v>0</v>
      </c>
      <c r="J25" s="67">
        <f>IFS(L25="Grupo 0",0,L25="Grupo 1",K25/K42,L25="Grupo 2",K25/K43,L25="Grupo 3",K25/K44,L25="Grupo 4",K25/K45,L25="Grupo 5",K25/K46)</f>
        <v>0</v>
      </c>
      <c r="K25" s="68">
        <f>IFS(L25="Grupo 0",0,L25="Grupo 1",(E42*I25-F25)*N25,L25="Grupo 2",(E43*I25-F25)*N25,L25="Grupo 3",(E44*I25-F25)*N25,L25="Grupo 4",(E45*I25-F25)*N25,L25="Grupo 5",(E46*I25-F25)*N25)</f>
        <v>0</v>
      </c>
      <c r="L25" s="85" t="s">
        <v>36</v>
      </c>
      <c r="M25" s="85"/>
      <c r="N25" s="70">
        <f t="shared" si="2"/>
        <v>1</v>
      </c>
      <c r="O25" s="26">
        <f>IFS(L25="Grupo 0",0,L25="Grupo 1",J25*D42,L25="Grupo 2",J25*D43,L25="Grupo 3",J25*D44,L25="Grupo 4",J25*D45,L25="Grupo 5",J25*D46)</f>
        <v>0</v>
      </c>
      <c r="P25" s="61"/>
      <c r="Q25" s="50"/>
    </row>
    <row r="26">
      <c r="A26" s="51">
        <v>25.0</v>
      </c>
      <c r="B26" s="52"/>
      <c r="C26" s="83"/>
      <c r="D26" s="52"/>
      <c r="E26" s="71"/>
      <c r="F26" s="54">
        <f t="shared" si="1"/>
        <v>0</v>
      </c>
      <c r="G26" s="55">
        <f>IFS(L26="Grupo 0",0,L26="Grupo 1",F26/F42,L26="Grupo 2",F26/F43,L26="Grupo 3",F26/F44,L26="Grupo 4",F26/F45,L26="Grupo 5",F26/F46)</f>
        <v>0</v>
      </c>
      <c r="H26" s="55">
        <f>IFS(L26="Grupo 0",0,L26="Grupo 1",F26/E42,L26="Grupo 2",F26/E43,L26="Grupo 3",F26/E44,L26="Grupo 4",F26/E45,L26="Grupo 5",F26/E46)</f>
        <v>0</v>
      </c>
      <c r="I26" s="55">
        <f>IFS(L26="Grupo 0",0,L26="Grupo 1",M26/M42,L26="Grupo 2",M26/M43,L26="Grupo 3",M26/M44,L26="Grupo 4",M26/M45,L26="Grupo 5",M26/M46)</f>
        <v>0</v>
      </c>
      <c r="J26" s="56">
        <f>IFS(L26="Grupo 0",0,L26="Grupo 1",K26/K42,L26="Grupo 2",K26/K43,L26="Grupo 3",K26/K44,L26="Grupo 4",K26/K45,L26="Grupo 5",K26/K46)</f>
        <v>0</v>
      </c>
      <c r="K26" s="57">
        <f>IFS(L26="Grupo 0",0,L26="Grupo 1",(E42*I26-F26)*N26,L26="Grupo 2",(E43*I26-F26)*N26,L26="Grupo 3",(E44*I26-F26)*N26,L26="Grupo 4",(E45*I26-F26)*N26,L26="Grupo 5",(E46*I26-F26)*N26)</f>
        <v>0</v>
      </c>
      <c r="L26" s="84" t="s">
        <v>36</v>
      </c>
      <c r="M26" s="84"/>
      <c r="N26" s="59">
        <f t="shared" si="2"/>
        <v>1</v>
      </c>
      <c r="O26" s="60">
        <f>IFS(L26="Grupo 0",0,L26="Grupo 1",J26*D42,L26="Grupo 2",J26*D43,L26="Grupo 3",J26*D44,L26="Grupo 4",J26*D45,L26="Grupo 5",J26*D46)</f>
        <v>0</v>
      </c>
      <c r="P26" s="61"/>
      <c r="Q26" s="50"/>
    </row>
    <row r="27">
      <c r="A27" s="73">
        <v>26.0</v>
      </c>
      <c r="B27" s="63"/>
      <c r="C27" s="64"/>
      <c r="D27" s="63"/>
      <c r="E27" s="75"/>
      <c r="F27" s="27">
        <f t="shared" si="1"/>
        <v>0</v>
      </c>
      <c r="G27" s="24">
        <f>IFS(L27="Grupo 0",0,L27="Grupo 1",F27/F42,L27="Grupo 2",F27/F43,L27="Grupo 3",F27/F44,L27="Grupo 4",F27/F45,L27="Grupo 5",F27/F46)</f>
        <v>0</v>
      </c>
      <c r="H27" s="24">
        <f>IFS(L27="Grupo 0",0,L27="Grupo 1",F27/E42,L27="Grupo 2",F27/E43,L27="Grupo 3",F27/E44,L27="Grupo 4",F27/E45,L27="Grupo 5",F27/E46)</f>
        <v>0</v>
      </c>
      <c r="I27" s="24">
        <f>IFS(L27="Grupo 0",0,L27="Grupo 1",M27/M42,L27="Grupo 2",M27/M43,L27="Grupo 3",M27/M44,L27="Grupo 4",M27/M45,L27="Grupo 5",M27/M46)</f>
        <v>0</v>
      </c>
      <c r="J27" s="67">
        <f>IFS(L27="Grupo 0",0,L27="Grupo 1",K27/K42,L27="Grupo 2",K27/K43,L27="Grupo 3",K27/K44,L27="Grupo 4",K27/K45,L27="Grupo 5",K27/K46)</f>
        <v>0</v>
      </c>
      <c r="K27" s="68">
        <f>IFS(L27="Grupo 0",0,L27="Grupo 1",(E42*I27-F27)*N27,L27="Grupo 2",(E43*I27-F27)*N27,L27="Grupo 3",(E44*I27-F27)*N27,L27="Grupo 4",(E45*I27-F27)*N27,L27="Grupo 5",(E46*I27-F27)*N27)</f>
        <v>0</v>
      </c>
      <c r="L27" s="85" t="s">
        <v>36</v>
      </c>
      <c r="M27" s="85"/>
      <c r="N27" s="70">
        <f t="shared" si="2"/>
        <v>1</v>
      </c>
      <c r="O27" s="26">
        <f>IFS(L27="Grupo 0",0,L27="Grupo 1",J27*D42,L27="Grupo 2",J27*D43,L27="Grupo 3",J27*D44,L27="Grupo 4",J27*D45,L27="Grupo 5",J27*D46)</f>
        <v>0</v>
      </c>
      <c r="P27" s="61"/>
      <c r="Q27" s="50"/>
    </row>
    <row r="28">
      <c r="A28" s="51">
        <v>27.0</v>
      </c>
      <c r="B28" s="52"/>
      <c r="C28" s="83"/>
      <c r="D28" s="52"/>
      <c r="E28" s="71"/>
      <c r="F28" s="54">
        <f t="shared" si="1"/>
        <v>0</v>
      </c>
      <c r="G28" s="55">
        <f>IFS(L28="Grupo 0",0,L28="Grupo 1",F28/F42,L28="Grupo 2",F28/F43,L28="Grupo 3",F28/F44,L28="Grupo 4",F28/F45,L28="Grupo 5",F28/F46)</f>
        <v>0</v>
      </c>
      <c r="H28" s="55">
        <f>IFS(L28="Grupo 0",0,L28="Grupo 1",F28/E42,L28="Grupo 2",F28/E43,L28="Grupo 3",F28/E44,L28="Grupo 4",F28/E45,L28="Grupo 5",F28/E46)</f>
        <v>0</v>
      </c>
      <c r="I28" s="55">
        <f>IFS(L28="Grupo 0",0,L28="Grupo 1",M28/M42,L28="Grupo 2",M28/M43,L28="Grupo 3",M28/M44,L28="Grupo 4",M28/M45,L28="Grupo 5",M28/M46)</f>
        <v>0</v>
      </c>
      <c r="J28" s="56">
        <f>IFS(L28="Grupo 0",0,L28="Grupo 1",K28/K42,L28="Grupo 2",K28/K43,L28="Grupo 3",K28/K44,L28="Grupo 4",K28/K45,L28="Grupo 5",K28/K46)</f>
        <v>0</v>
      </c>
      <c r="K28" s="57">
        <f>IFS(L28="Grupo 0",0,L28="Grupo 1",(E42*I28-F28)*N28,L28="Grupo 2",(E43*I28-F28)*N28,L28="Grupo 3",(E44*I28-F28)*N28,L28="Grupo 4",(E45*I28-F28)*N28,L28="Grupo 5",(E46*I28-F28)*N28)</f>
        <v>0</v>
      </c>
      <c r="L28" s="84" t="s">
        <v>36</v>
      </c>
      <c r="M28" s="84"/>
      <c r="N28" s="59">
        <f t="shared" si="2"/>
        <v>1</v>
      </c>
      <c r="O28" s="60">
        <f>IFS(L28="Grupo 0",0,L28="Grupo 1",J28*D42,L28="Grupo 2",J28*D43,L28="Grupo 3",J28*D44,L28="Grupo 4",J28*D45,L28="Grupo 5",J28*D46)</f>
        <v>0</v>
      </c>
      <c r="P28" s="61"/>
      <c r="Q28" s="50"/>
    </row>
    <row r="29">
      <c r="A29" s="73">
        <v>28.0</v>
      </c>
      <c r="B29" s="63"/>
      <c r="C29" s="64"/>
      <c r="D29" s="63"/>
      <c r="E29" s="75"/>
      <c r="F29" s="27">
        <f t="shared" si="1"/>
        <v>0</v>
      </c>
      <c r="G29" s="24">
        <f>IFS(L29="Grupo 0",0,L29="Grupo 1",F29/F42,L29="Grupo 2",F29/F43,L29="Grupo 3",F29/F44,L29="Grupo 4",F29/F45,L29="Grupo 5",F29/F46)</f>
        <v>0</v>
      </c>
      <c r="H29" s="24">
        <f>IFS(L29="Grupo 0",0,L29="Grupo 1",F29/E42,L29="Grupo 2",F29/E43,L29="Grupo 3",F29/E44,L29="Grupo 4",F29/E45,L29="Grupo 5",F29/E46)</f>
        <v>0</v>
      </c>
      <c r="I29" s="24">
        <f>IFS(L29="Grupo 0",0,L29="Grupo 1",M29/M42,L29="Grupo 2",M29/M43,L29="Grupo 3",M29/M44,L29="Grupo 4",M29/M45,L29="Grupo 5",M29/M46)</f>
        <v>0</v>
      </c>
      <c r="J29" s="67">
        <f>IFS(L29="Grupo 0",0,L29="Grupo 1",K29/K42,L29="Grupo 2",K29/K43,L29="Grupo 3",K29/K44,L29="Grupo 4",K29/K45,L29="Grupo 5",K29/K46)</f>
        <v>0</v>
      </c>
      <c r="K29" s="68">
        <f>IFS(L29="Grupo 0",0,L29="Grupo 1",(E42*I29-F29)*N29,L29="Grupo 2",(E43*I29-F29)*N29,L29="Grupo 3",(E44*I29-F29)*N29,L29="Grupo 4",(E45*I29-F29)*N29,L29="Grupo 5",(E46*I29-F29)*N29)</f>
        <v>0</v>
      </c>
      <c r="L29" s="85" t="s">
        <v>36</v>
      </c>
      <c r="M29" s="85"/>
      <c r="N29" s="70">
        <f t="shared" si="2"/>
        <v>1</v>
      </c>
      <c r="O29" s="26">
        <f>IFS(L29="Grupo 0",0,L29="Grupo 1",J29*D42,L29="Grupo 2",J29*D43,L29="Grupo 3",J29*D44,L29="Grupo 4",J29*D45,L29="Grupo 5",J29*D46)</f>
        <v>0</v>
      </c>
      <c r="P29" s="61"/>
      <c r="Q29" s="50"/>
    </row>
    <row r="30">
      <c r="A30" s="51">
        <v>29.0</v>
      </c>
      <c r="B30" s="52"/>
      <c r="C30" s="83"/>
      <c r="D30" s="52"/>
      <c r="E30" s="71"/>
      <c r="F30" s="54">
        <f t="shared" si="1"/>
        <v>0</v>
      </c>
      <c r="G30" s="55">
        <f>IFS(L30="Grupo 0",0,L30="Grupo 1",F30/F42,L30="Grupo 2",F30/F43,L30="Grupo 3",F30/F44,L30="Grupo 4",F30/F45,L30="Grupo 5",F30/F46)</f>
        <v>0</v>
      </c>
      <c r="H30" s="55">
        <f>IFS(L30="Grupo 0",0,L30="Grupo 1",F30/E42,L30="Grupo 2",F30/E43,L30="Grupo 3",F30/E44,L30="Grupo 4",F30/E45,L30="Grupo 5",F30/E46)</f>
        <v>0</v>
      </c>
      <c r="I30" s="55">
        <f>IFS(L30="Grupo 0",0,L30="Grupo 1",M30/M42,L30="Grupo 2",M30/M43,L30="Grupo 3",M30/M44,L30="Grupo 4",M30/M45,L30="Grupo 5",M30/M46)</f>
        <v>0</v>
      </c>
      <c r="J30" s="56">
        <f>IFS(L30="Grupo 0",0,L30="Grupo 1",K30/K42,L30="Grupo 2",K30/K43,L30="Grupo 3",K30/K44,L30="Grupo 4",K30/K45,L30="Grupo 5",K30/K46)</f>
        <v>0</v>
      </c>
      <c r="K30" s="57">
        <f>IFS(L30="Grupo 0",0,L30="Grupo 1",(E42*I30-F30)*N30,L30="Grupo 2",(E43*I30-F30)*N30,L30="Grupo 3",(E44*I30-F30)*N30,L30="Grupo 4",(E45*I30-F30)*N30,L30="Grupo 5",(E46*I30-F30)*N30)</f>
        <v>0</v>
      </c>
      <c r="L30" s="84" t="s">
        <v>36</v>
      </c>
      <c r="M30" s="84"/>
      <c r="N30" s="59">
        <f t="shared" si="2"/>
        <v>1</v>
      </c>
      <c r="O30" s="60">
        <f>IFS(L30="Grupo 0",0,L30="Grupo 1",J30*D42,L30="Grupo 2",J30*D43,L30="Grupo 3",J30*D44,L30="Grupo 4",J30*D45,L30="Grupo 5",J30*D46)</f>
        <v>0</v>
      </c>
      <c r="P30" s="61"/>
      <c r="Q30" s="50"/>
    </row>
    <row r="31">
      <c r="A31" s="73">
        <v>30.0</v>
      </c>
      <c r="B31" s="63"/>
      <c r="C31" s="64"/>
      <c r="D31" s="63"/>
      <c r="E31" s="75"/>
      <c r="F31" s="27">
        <f t="shared" si="1"/>
        <v>0</v>
      </c>
      <c r="G31" s="24">
        <f>IFS(L31="Grupo 0",0,L31="Grupo 1",F31/F42,L31="Grupo 2",F31/F43,L31="Grupo 3",F31/F44,L31="Grupo 4",F31/F45,L31="Grupo 5",F31/F46)</f>
        <v>0</v>
      </c>
      <c r="H31" s="24">
        <f>IFS(L31="Grupo 0",0,L31="Grupo 1",F31/E42,L31="Grupo 2",F31/E43,L31="Grupo 3",F31/E44,L31="Grupo 4",F31/E45,L31="Grupo 5",F31/E46)</f>
        <v>0</v>
      </c>
      <c r="I31" s="24">
        <f>IFS(L31="Grupo 0",0,L31="Grupo 1",M31/M42,L31="Grupo 2",M31/M43,L31="Grupo 3",M31/M44,L31="Grupo 4",M31/M45,L31="Grupo 5",M31/M46)</f>
        <v>0</v>
      </c>
      <c r="J31" s="67">
        <f>IFS(L31="Grupo 0",0,L31="Grupo 1",K31/K42,L31="Grupo 2",K31/K43,L31="Grupo 3",K31/K44,L31="Grupo 4",K31/K45,L31="Grupo 5",K31/K46)</f>
        <v>0</v>
      </c>
      <c r="K31" s="68">
        <f>IFS(L31="Grupo 0",0,L31="Grupo 1",(E42*I31-F31)*N31,L31="Grupo 2",(E43*I31-F31)*N31,L31="Grupo 3",(E44*I30-F31)*N31,L31="Grupo 4",(E45*I31-F31)*N31,L31="Grupo 5",(E46*I31-F31)*N31)</f>
        <v>0</v>
      </c>
      <c r="L31" s="85" t="s">
        <v>36</v>
      </c>
      <c r="M31" s="85"/>
      <c r="N31" s="70">
        <f t="shared" si="2"/>
        <v>1</v>
      </c>
      <c r="O31" s="26">
        <f>IFS(L31="Grupo 0",0,L31="Grupo 1",J31*D42,L31="Grupo 2",J31*D43,L31="Grupo 3",J31*D44,L31="Grupo 4",J31*D45,L31="Grupo 5",J31*D46)</f>
        <v>0</v>
      </c>
      <c r="P31" s="61"/>
      <c r="Q31" s="50"/>
    </row>
    <row r="32">
      <c r="A32" s="51">
        <v>31.0</v>
      </c>
      <c r="B32" s="52"/>
      <c r="C32" s="83"/>
      <c r="D32" s="52"/>
      <c r="E32" s="71"/>
      <c r="F32" s="54">
        <f t="shared" si="1"/>
        <v>0</v>
      </c>
      <c r="G32" s="55">
        <f>IFS(L32="Grupo 0",0,L32="Grupo 1",F32/F42,L32="Grupo 2",F32/F43,L32="Grupo 3",F32/F44,L32="Grupo 4",F32/F45,L32="Grupo 5",F32/F46)</f>
        <v>0</v>
      </c>
      <c r="H32" s="55">
        <f>IFS(L32="Grupo 0",0,L32="Grupo 1",F32/E42,L32="Grupo 2",F32/E43,L32="Grupo 3",F32/E44,L32="Grupo 4",F32/E45,L32="Grupo 5",F32/E46)</f>
        <v>0</v>
      </c>
      <c r="I32" s="55">
        <f>IFS(L32="Grupo 0",0,L32="Grupo 1",M32/M42,L32="Grupo 2",M32/M43,L32="Grupo 3",M32/M44,L32="Grupo 4",M32/M45,L32="Grupo 5",M32/M46)</f>
        <v>0</v>
      </c>
      <c r="J32" s="56">
        <f>IFS(L32="Grupo 0",0,L32="Grupo 1",K32/K42,L32="Grupo 2",K32/K43,L32="Grupo 3",K32/K44,L32="Grupo 4",K32/K45,L32="Grupo 5",K32/K46)</f>
        <v>0</v>
      </c>
      <c r="K32" s="57">
        <f>IFS(L32="Grupo 0",0,L32="Grupo 1",(E42*I32-F32)*N32,L32="Grupo 2",(E43*I32-F32)*N32,L32="Grupo 3",(E44*I32-F32)*N32,L32="Grupo 4",(E45*I32-F32)*N32,L32="Grupo 5",(E46*I32-F32)*N32)</f>
        <v>0</v>
      </c>
      <c r="L32" s="84" t="s">
        <v>36</v>
      </c>
      <c r="M32" s="84"/>
      <c r="N32" s="59">
        <f t="shared" si="2"/>
        <v>1</v>
      </c>
      <c r="O32" s="60">
        <f>IFS(L32="Grupo 0",0,L32="Grupo 1",J32*D42,L32="Grupo 2",J32*D43,L32="Grupo 3",J32*D44,L32="Grupo 4",J32*D45,L32="Grupo 5",J32*D46)</f>
        <v>0</v>
      </c>
      <c r="P32" s="61"/>
      <c r="Q32" s="50"/>
    </row>
    <row r="33">
      <c r="A33" s="73">
        <v>32.0</v>
      </c>
      <c r="B33" s="63"/>
      <c r="C33" s="64"/>
      <c r="D33" s="63"/>
      <c r="E33" s="75"/>
      <c r="F33" s="27">
        <f t="shared" si="1"/>
        <v>0</v>
      </c>
      <c r="G33" s="24">
        <f>IFS(L33="Grupo 0",0,L33="Grupo 1",F33/F42,L33="Grupo 2",F33/F43,L33="Grupo 3",F33/F44,L33="Grupo 4",F33/F45,L33="Grupo 5",F33/F46)</f>
        <v>0</v>
      </c>
      <c r="H33" s="24">
        <f>IFS(L33="Grupo 0",0,L33="Grupo 1",F33/E42,L33="Grupo 2",F33/E43,L33="Grupo 3",F33/E44,L33="Grupo 4",F33/E45,L33="Grupo 5",F33/E46)</f>
        <v>0</v>
      </c>
      <c r="I33" s="24">
        <f>IFS(L33="Grupo 0",0,L33="Grupo 1",M33/M42,L33="Grupo 2",M33/M43,L33="Grupo 3",M33/M44,L33="Grupo 4",M33/M45,L33="Grupo 5",M33/M46)</f>
        <v>0</v>
      </c>
      <c r="J33" s="67">
        <f>IFS(L33="Grupo 0",0,L33="Grupo 1",K33/K42,L33="Grupo 2",K33/K43,L33="Grupo 3",K33/K44,L33="Grupo 4",K33/K45,L33="Grupo 5",K33/K46)</f>
        <v>0</v>
      </c>
      <c r="K33" s="68">
        <f>IFS(L33="Grupo 0",0,L33="Grupo 1",(E42*I33-F33)*N33,L33="Grupo 2",(E43*I33-F33)*N33,L33="Grupo 3",(E44*I33-F33)*N33,L33="Grupo 4",(E45*I33-F33)*N33,L33="Grupo 5",(E46*I33-F33)*N33)</f>
        <v>0</v>
      </c>
      <c r="L33" s="85" t="s">
        <v>36</v>
      </c>
      <c r="M33" s="85"/>
      <c r="N33" s="70">
        <f t="shared" si="2"/>
        <v>1</v>
      </c>
      <c r="O33" s="26">
        <f>IFS(L33="Grupo 0",0,L33="Grupo 1",J33*D42,L33="Grupo 2",J33*D43,L33="Grupo 3",J33*D44,L33="Grupo 4",J33*D45,L33="Grupo 5",J33*D46)</f>
        <v>0</v>
      </c>
      <c r="P33" s="61"/>
      <c r="Q33" s="50"/>
    </row>
    <row r="34">
      <c r="A34" s="51">
        <v>33.0</v>
      </c>
      <c r="B34" s="52"/>
      <c r="C34" s="83"/>
      <c r="D34" s="52"/>
      <c r="E34" s="71"/>
      <c r="F34" s="54">
        <f t="shared" si="1"/>
        <v>0</v>
      </c>
      <c r="G34" s="55">
        <f>IFS(L34="Grupo 0",0,L34="Grupo 1",F34/F42,L34="Grupo 2",F34/F43,L34="Grupo 3",F34/F44,L34="Grupo 4",F34/F45,L34="Grupo 5",F34/F46)</f>
        <v>0</v>
      </c>
      <c r="H34" s="55">
        <f>IFS(L34="Grupo 0",0,L34="Grupo 1",F34/E42,L34="Grupo 2",F34/E43,L34="Grupo 3",F34/E44,L34="Grupo 4",F34/E45,L34="Grupo 5",F34/E46)</f>
        <v>0</v>
      </c>
      <c r="I34" s="55">
        <f>IFS(L34="Grupo 0",0,L34="Grupo 1",M34/M42,L34="Grupo 2",M34/M43,L34="Grupo 3",M34/M44,L34="Grupo 4",M34/M45,L34="Grupo 5",M34/M46)</f>
        <v>0</v>
      </c>
      <c r="J34" s="56">
        <f>IFS(L34="Grupo 0",0,L34="Grupo 1",K34/K42,L34="Grupo 2",K34/K43,L34="Grupo 3",K34/K44,L34="Grupo 4",K34/K45,L34="Grupo 5",K34/K46)</f>
        <v>0</v>
      </c>
      <c r="K34" s="57">
        <f>IFS(L34="Grupo 0",0,L34="Grupo 1",(E42*I34-F34)*N34,L34="Grupo 2",(E43*I34-F34)*N34,L34="Grupo 3",(E44*I34-F34)*N34,L34="Grupo 4",(E45*I34-F34)*N34,L34="Grupo 5",(E46*I34-F34)*N34)</f>
        <v>0</v>
      </c>
      <c r="L34" s="84" t="s">
        <v>36</v>
      </c>
      <c r="M34" s="84"/>
      <c r="N34" s="59">
        <f t="shared" si="2"/>
        <v>1</v>
      </c>
      <c r="O34" s="60">
        <f>IFS(L34="Grupo 0",0,L34="Grupo 1",J34*D42,L34="Grupo 2",J34*D43,L34="Grupo 3",J34*D44,L34="Grupo 4",J34*D45,L34="Grupo 5",J34*D46)</f>
        <v>0</v>
      </c>
      <c r="P34" s="61"/>
      <c r="Q34" s="50"/>
    </row>
    <row r="35">
      <c r="A35" s="73">
        <v>34.0</v>
      </c>
      <c r="B35" s="63"/>
      <c r="C35" s="64"/>
      <c r="D35" s="63"/>
      <c r="E35" s="75"/>
      <c r="F35" s="27">
        <f t="shared" si="1"/>
        <v>0</v>
      </c>
      <c r="G35" s="24">
        <f>IFS(L35="Grupo 0",0,L35="Grupo 1",F35/F42,L35="Grupo 2",F35/F43,L35="Grupo 3",F35/F44,L35="Grupo 4",F35/F45,L35="Grupo 5",F35/F46)</f>
        <v>0</v>
      </c>
      <c r="H35" s="24">
        <f>IFS(L35="Grupo 0",0,L35="Grupo 1",F35/E42,L35="Grupo 2",F35/E43,L35="Grupo 3",F35/E44,L35="Grupo 4",F35/E45,L35="Grupo 5",F35/E46)</f>
        <v>0</v>
      </c>
      <c r="I35" s="24">
        <f>IFS(L35="Grupo 0",0,L35="Grupo 1",M35/M42,L35="Grupo 2",M35/M43,L35="Grupo 3",M35/M44,L35="Grupo 4",M35/M45,L35="Grupo 5",M35/M46)</f>
        <v>0</v>
      </c>
      <c r="J35" s="67">
        <f>IFS(L35="Grupo 0",0,L35="Grupo 1",K35/K42,L35="Grupo 2",K35/K43,L35="Grupo 3",K35/K44,L35="Grupo 4",K35/K45,L35="Grupo 5",K35/K46)</f>
        <v>0</v>
      </c>
      <c r="K35" s="68">
        <f>IFS(L35="Grupo 0",0,L35="Grupo 1",(E42*I35-F35)*N35,L35="Grupo 2",(E43*I35-F35)*N35,L35="Grupo 3",(E44*I35-F35)*N35,L35="Grupo 4",(E45*I35-F35)*N35,L35="Grupo 5",(E46*I35-F35)*N35)</f>
        <v>0</v>
      </c>
      <c r="L35" s="85" t="s">
        <v>36</v>
      </c>
      <c r="M35" s="85"/>
      <c r="N35" s="70">
        <f t="shared" si="2"/>
        <v>1</v>
      </c>
      <c r="O35" s="26">
        <f>IFS(L35="Grupo 0",0,L35="Grupo 1",J35*D42,L35="Grupo 2",J35*D43,L35="Grupo 3",J35*D44,L35="Grupo 4",J35*D45,L35="Grupo 5",J35*D46)</f>
        <v>0</v>
      </c>
      <c r="P35" s="61"/>
      <c r="Q35" s="50"/>
    </row>
    <row r="36">
      <c r="A36" s="51">
        <v>35.0</v>
      </c>
      <c r="B36" s="52"/>
      <c r="C36" s="83"/>
      <c r="D36" s="52"/>
      <c r="E36" s="71"/>
      <c r="F36" s="54">
        <f t="shared" si="1"/>
        <v>0</v>
      </c>
      <c r="G36" s="55">
        <f>IFS(L36="Grupo 0",0,L36="Grupo 1",F36/F42,L36="Grupo 2",F36/F43,L36="Grupo 3",F36/F44,L36="Grupo 4",F36/F45,L36="Grupo 5",F36/F46)</f>
        <v>0</v>
      </c>
      <c r="H36" s="55">
        <f>IFS(L36="Grupo 0",0,L36="Grupo 1",F36/E42,L36="Grupo 2",F36/E43,L36="Grupo 3",F36/E44,L36="Grupo 4",F36/E45,L36="Grupo 5",F36/E46)</f>
        <v>0</v>
      </c>
      <c r="I36" s="55">
        <f>IFS(L36="Grupo 0",0,L36="Grupo 1",M36/M42,L36="Grupo 2",M36/M43,L36="Grupo 3",M36/M44,L36="Grupo 4",M36/M45,L36="Grupo 5",M36/M46)</f>
        <v>0</v>
      </c>
      <c r="J36" s="56">
        <f>IFS(L36="Grupo 0",0,L36="Grupo 1",K36/K42,L36="Grupo 2",K36/K43,L36="Grupo 3",K36/K44,L36="Grupo 4",K36/K45,L36="Grupo 5",K36/K46)</f>
        <v>0</v>
      </c>
      <c r="K36" s="57">
        <f>IFS(L36="Grupo 0",0,L36="Grupo 1",(E42*I36-F36)*N36,L36="Grupo 2",(E43*I36-F36)*N36,L36="Grupo 3",(E44*I36-F36)*N36,L36="Grupo 4",(E45*I36-F36)*N36,L36="Grupo 5",(E46*I36-F36)*N36)</f>
        <v>0</v>
      </c>
      <c r="L36" s="84" t="s">
        <v>36</v>
      </c>
      <c r="M36" s="84"/>
      <c r="N36" s="59">
        <f t="shared" si="2"/>
        <v>1</v>
      </c>
      <c r="O36" s="60">
        <f>IFS(L36="Grupo 0",0,L36="Grupo 1",J36*D42,L36="Grupo 2",J36*D43,L36="Grupo 3",J36*D44,L36="Grupo 4",J36*D45,L36="Grupo 5",J36*D46)</f>
        <v>0</v>
      </c>
      <c r="P36" s="61"/>
      <c r="Q36" s="50"/>
    </row>
    <row r="37">
      <c r="A37" s="73">
        <v>36.0</v>
      </c>
      <c r="B37" s="63"/>
      <c r="C37" s="64"/>
      <c r="D37" s="63"/>
      <c r="E37" s="75"/>
      <c r="F37" s="27">
        <f t="shared" si="1"/>
        <v>0</v>
      </c>
      <c r="G37" s="24">
        <f>IFS(L37="Grupo 0",0,L37="Grupo 1",F37/F42,L37="Grupo 2",F37/F43,L37="Grupo 3",F37/F44,L37="Grupo 4",F37/F45,L37="Grupo 5",F37/F46)</f>
        <v>0</v>
      </c>
      <c r="H37" s="24">
        <f>IFS(L37="Grupo 0",0,L37="Grupo 1",F37/E42,L37="Grupo 2",F37/E43,L37="Grupo 3",F37/E44,L37="Grupo 4",F37/E45,L37="Grupo 5",F37/E46)</f>
        <v>0</v>
      </c>
      <c r="I37" s="24">
        <f>IFS(L37="Grupo 0",0,L37="Grupo 1",M37/M42,L37="Grupo 2",M37/M43,L37="Grupo 3",M37/M44,L37="Grupo 4",M37/M45,L37="Grupo 5",M37/M46)</f>
        <v>0</v>
      </c>
      <c r="J37" s="67">
        <f>IFS(L37="Grupo 0",0,L37="Grupo 1",K37/K42,L37="Grupo 2",K37/K43,L37="Grupo 3",K37/K44,L37="Grupo 4",K37/K45,L37="Grupo 5",K37/K46)</f>
        <v>0</v>
      </c>
      <c r="K37" s="68">
        <f>IFS(L37="Grupo 0",0,L37="Grupo 1",(E42*I37-F37)*N37,L37="Grupo 2",(E43*I37-F37)*N37,L37="Grupo 3",(E44*I37-F37)*N37,L37="Grupo 4",(E45*I37-F37)*N37,L37="Grupo 5",(E46*I37-F37)*N37)</f>
        <v>0</v>
      </c>
      <c r="L37" s="85" t="s">
        <v>36</v>
      </c>
      <c r="M37" s="85"/>
      <c r="N37" s="70">
        <f t="shared" si="2"/>
        <v>1</v>
      </c>
      <c r="O37" s="26">
        <f>IFS(L37="Grupo 0",0,L37="Grupo 1",J37*D42,L37="Grupo 2",J37*D43,L37="Grupo 3",J37*D44,L37="Grupo 4",J37*D45,L37="Grupo 5",J37*D46)</f>
        <v>0</v>
      </c>
      <c r="P37" s="61"/>
      <c r="Q37" s="50"/>
    </row>
    <row r="38">
      <c r="A38" s="51">
        <v>37.0</v>
      </c>
      <c r="B38" s="52"/>
      <c r="C38" s="83"/>
      <c r="D38" s="52"/>
      <c r="E38" s="71"/>
      <c r="F38" s="54">
        <f t="shared" si="1"/>
        <v>0</v>
      </c>
      <c r="G38" s="55">
        <f>IFS(L38="Grupo 0",0,L38="Grupo 1",F38/F42,L38="Grupo 2",F38/F43,L38="Grupo 3",F38/F44,L38="Grupo 4",F38/F45,L38="Grupo 5",F38/F46)</f>
        <v>0</v>
      </c>
      <c r="H38" s="55">
        <f>IFS(L38="Grupo 0",0,L38="Grupo 1",F38/E42,L38="Grupo 2",F38/E43,L38="Grupo 3",F38/E44,L38="Grupo 4",F38/E45,L38="Grupo 5",F38/E46)</f>
        <v>0</v>
      </c>
      <c r="I38" s="55">
        <f>IFS(L38="Grupo 0",0,L38="Grupo 1",M38/M42,L38="Grupo 2",M38/M43,L38="Grupo 3",M38/M44,L38="Grupo 4",M38/M45,L38="Grupo 5",M38/M46)</f>
        <v>0</v>
      </c>
      <c r="J38" s="56">
        <f>IFS(L38="Grupo 0",0,L38="Grupo 1",K38/K42,L38="Grupo 2",K38/K43,L38="Grupo 3",K38/K44,L38="Grupo 4",K38/K45,L38="Grupo 5",K38/K46)</f>
        <v>0</v>
      </c>
      <c r="K38" s="57">
        <f>IFS(L38="Grupo 0",0,L38="Grupo 1",(E42*I38-F38)*N38,L38="Grupo 2",(E43*I38-F38)*N38,L38="Grupo 3",(E44*I38-F38)*N38,L38="Grupo 4",(E45*I38-F38)*N38,L38="Grupo 5",(E46*I38-F38)*N38)</f>
        <v>0</v>
      </c>
      <c r="L38" s="84" t="s">
        <v>36</v>
      </c>
      <c r="M38" s="84"/>
      <c r="N38" s="59">
        <f t="shared" si="2"/>
        <v>1</v>
      </c>
      <c r="O38" s="60">
        <f>IFS(L38="Grupo 0",0,L38="Grupo 1",J38*D42,L38="Grupo 2",J38*D43,L38="Grupo 3",J38*D44,L38="Grupo 4",J38*D45,L38="Grupo 5",J38*D46)</f>
        <v>0</v>
      </c>
      <c r="P38" s="61"/>
      <c r="Q38" s="50"/>
    </row>
    <row r="39">
      <c r="A39" s="73">
        <v>38.0</v>
      </c>
      <c r="B39" s="63"/>
      <c r="C39" s="64"/>
      <c r="D39" s="63"/>
      <c r="E39" s="75"/>
      <c r="F39" s="27">
        <f t="shared" si="1"/>
        <v>0</v>
      </c>
      <c r="G39" s="24">
        <f>IFS(L39="Grupo 0",0,L39="Grupo 1",F39/F42,L39="Grupo 2",F39/F43,L39="Grupo 3",F39/F44,L39="Grupo 4",F39/F45,L39="Grupo 5",F39/F46)</f>
        <v>0</v>
      </c>
      <c r="H39" s="24">
        <f>IFS(L39="Grupo 0",0,L39="Grupo 1",F39/E42,L39="Grupo 2",F39/E43,L39="Grupo 3",F39/E44,L39="Grupo 4",F39/E45,L39="Grupo 5",F39/E46)</f>
        <v>0</v>
      </c>
      <c r="I39" s="24">
        <f>IFS(L39="Grupo 0",0,L39="Grupo 1",M39/M42,L39="Grupo 2",M39/M43,L39="Grupo 3",M39/M44,L39="Grupo 4",M39/M45,L39="Grupo 5",M39/M46)</f>
        <v>0</v>
      </c>
      <c r="J39" s="67">
        <f>IFS(L39="Grupo 0",0,L39="Grupo 1",K39/K42,L39="Grupo 2",K39/K43,L39="Grupo 3",K39/K44,L39="Grupo 4",K39/K45,L39="Grupo 5",K39/K46)</f>
        <v>0</v>
      </c>
      <c r="K39" s="68">
        <f>IFS(L39="Grupo 0",0,L39="Grupo 1",(E42*I39-F39)*N39,L39="Grupo 2",(E43*I39-F39)*N39,L39="Grupo 3",(E44*I39-F39)*N39,L39="Grupo 4",(E45*I39-F39)*N39,L39="Grupo 5",(E46*I39-F39)*N39)</f>
        <v>0</v>
      </c>
      <c r="L39" s="85" t="s">
        <v>36</v>
      </c>
      <c r="M39" s="85"/>
      <c r="N39" s="70">
        <f t="shared" si="2"/>
        <v>1</v>
      </c>
      <c r="O39" s="26">
        <f>IFS(L39="Grupo 0",0,L39="Grupo 1",J39*D42,L39="Grupo 2",J39*D43,L39="Grupo 3",J39*D44,L39="Grupo 4",J39*D45,L39="Grupo 5",J39*D46)</f>
        <v>0</v>
      </c>
      <c r="P39" s="61"/>
      <c r="Q39" s="50"/>
    </row>
    <row r="40">
      <c r="A40" s="51">
        <v>39.0</v>
      </c>
      <c r="B40" s="52"/>
      <c r="C40" s="83"/>
      <c r="D40" s="52"/>
      <c r="E40" s="71"/>
      <c r="F40" s="54">
        <f t="shared" si="1"/>
        <v>0</v>
      </c>
      <c r="G40" s="55">
        <f>IFS(L40="Grupo 0",0,L40="Grupo 1",F40/F42,L40="Grupo 2",F40/F43,L40="Grupo 3",F40/F44,L40="Grupo 4",F40/F45,L40="Grupo 5",F40/F46)</f>
        <v>0</v>
      </c>
      <c r="H40" s="55">
        <f>IFS(L40="Grupo 0",0,L40="Grupo 1",F40/E42,L40="Grupo 2",F40/E43,L40="Grupo 3",F40/E44,L40="Grupo 4",F40/E45,L40="Grupo 5",F40/E46)</f>
        <v>0</v>
      </c>
      <c r="I40" s="55">
        <f>IFS(L40="Grupo 0",0,L40="Grupo 1",M40/M42,L40="Grupo 2",M40/M43,L40="Grupo 3",M40/M44,L40="Grupo 4",M40/M45,L40="Grupo 5",M40/M46)</f>
        <v>0</v>
      </c>
      <c r="J40" s="56">
        <f>IFS(L40="Grupo 0",0,L40="Grupo 1",K40/K42,L40="Grupo 2",K40/K43,L40="Grupo 3",K40/K44,L40="Grupo 4",K40/K45,L40="Grupo 5",K40/K46)</f>
        <v>0</v>
      </c>
      <c r="K40" s="57">
        <f>IFS(L40="Grupo 0",0,L40="Grupo 1",(E42*I40-F40)*N40,L40="Grupo 2",(E43*I40-F40)*N40,L40="Grupo 3",(E44*I40-F40)*N40,L40="Grupo 4",(E45*I40-F40)*N40,L40="Grupo 5",(E46*I40-F40)*N40)</f>
        <v>0</v>
      </c>
      <c r="L40" s="84" t="s">
        <v>36</v>
      </c>
      <c r="M40" s="84"/>
      <c r="N40" s="59">
        <f t="shared" si="2"/>
        <v>1</v>
      </c>
      <c r="O40" s="60">
        <f>IFS(L40="Grupo 0",0,L40="Grupo 1",J40*D42,L40="Grupo 2",J40*D43,L40="Grupo 3",J40*D44,L40="Grupo 4",J40*D45,L40="Grupo 5",J40*D46)</f>
        <v>0</v>
      </c>
      <c r="P40" s="61"/>
      <c r="Q40" s="50"/>
    </row>
    <row r="41">
      <c r="A41" s="86"/>
      <c r="B41" s="49" t="s">
        <v>42</v>
      </c>
      <c r="C41" s="61">
        <f>SUM(B42:B46)</f>
        <v>0.2</v>
      </c>
      <c r="D41" s="87">
        <f>F41+N1</f>
        <v>18166.43351</v>
      </c>
      <c r="E41" s="88">
        <f>SUM(E3:E40)</f>
        <v>373885.289</v>
      </c>
      <c r="F41" s="88">
        <f>SUM(F2:F40)</f>
        <v>14891.83793</v>
      </c>
      <c r="G41" s="50"/>
      <c r="H41" s="49"/>
      <c r="I41" s="89">
        <f t="shared" ref="I41:K41" si="3">SUM(I2:I40)</f>
        <v>3</v>
      </c>
      <c r="J41" s="90">
        <f t="shared" si="3"/>
        <v>3</v>
      </c>
      <c r="K41" s="87">
        <f t="shared" si="3"/>
        <v>6048.850576</v>
      </c>
      <c r="L41" s="91"/>
      <c r="M41" s="91">
        <f>SUM(M2:M40)</f>
        <v>47</v>
      </c>
      <c r="N41" s="92"/>
      <c r="O41" s="93">
        <f t="shared" ref="O41:P41" si="4">SUM(O2:O40)</f>
        <v>3274.595578</v>
      </c>
      <c r="P41" s="89">
        <f t="shared" si="4"/>
        <v>1</v>
      </c>
      <c r="Q41" s="50"/>
    </row>
    <row r="42">
      <c r="A42" s="86" t="s">
        <v>43</v>
      </c>
      <c r="B42" s="89">
        <f>'Distruibuição de aporte'!B3</f>
        <v>0.05</v>
      </c>
      <c r="C42" s="49" t="s">
        <v>44</v>
      </c>
      <c r="D42" s="87">
        <f>'Distruibuição de aporte'!H3</f>
        <v>1154.818847</v>
      </c>
      <c r="E42" s="87">
        <f t="shared" ref="E42:E46" si="5">D42+F42</f>
        <v>1154.828847</v>
      </c>
      <c r="F42" s="92">
        <f>SUMIF(L2:L40,"Grupo 1",F2:F40)</f>
        <v>0.01</v>
      </c>
      <c r="G42" s="90">
        <f>SUMIF(L2:L40,"Grupo 1",G2:G40)</f>
        <v>1</v>
      </c>
      <c r="H42" s="91"/>
      <c r="I42" s="91"/>
      <c r="J42" s="94"/>
      <c r="K42" s="95">
        <f>SUMIF(L2:L40,"Grupo 1",K2:K40)</f>
        <v>1154.818847</v>
      </c>
      <c r="L42" s="96"/>
      <c r="M42" s="94">
        <f>SUMIF(L2:L40,"Grupo 1",M2:M40)</f>
        <v>5</v>
      </c>
      <c r="N42" s="97"/>
      <c r="O42" s="97"/>
      <c r="P42" s="50"/>
      <c r="Q42" s="50"/>
    </row>
    <row r="43">
      <c r="A43" s="86" t="s">
        <v>45</v>
      </c>
      <c r="B43" s="89">
        <f>'Distruibuição de aporte'!B4</f>
        <v>0.05</v>
      </c>
      <c r="C43" s="49" t="s">
        <v>46</v>
      </c>
      <c r="D43" s="87">
        <f>'Distruibuição de aporte'!H4</f>
        <v>974.8767265</v>
      </c>
      <c r="E43" s="87">
        <f t="shared" si="5"/>
        <v>2967.674657</v>
      </c>
      <c r="F43" s="92">
        <f>SUMIF(L2:L40,"Grupo 2",F2:F40)</f>
        <v>1992.79793</v>
      </c>
      <c r="G43" s="90">
        <f>SUMIF(L2:L40,"Grupo 2",G2:G40)</f>
        <v>1</v>
      </c>
      <c r="H43" s="91"/>
      <c r="I43" s="91"/>
      <c r="J43" s="94"/>
      <c r="K43" s="95">
        <f>SUMIF(L2:L40,"Grupo 2",K2:K40)</f>
        <v>974.8767265</v>
      </c>
      <c r="L43" s="96"/>
      <c r="M43" s="94">
        <f>SUMIF(L2:L40,"Grupo 2",M2:M40)</f>
        <v>10</v>
      </c>
      <c r="N43" s="97"/>
      <c r="O43" s="97"/>
      <c r="P43" s="94"/>
      <c r="Q43" s="50"/>
    </row>
    <row r="44">
      <c r="A44" s="86" t="s">
        <v>47</v>
      </c>
      <c r="B44" s="89">
        <f>'Distruibuição de aporte'!B5</f>
        <v>0.1</v>
      </c>
      <c r="C44" s="49" t="s">
        <v>48</v>
      </c>
      <c r="D44" s="87">
        <f>'Distruibuição de aporte'!H5</f>
        <v>1144.900005</v>
      </c>
      <c r="E44" s="87">
        <f t="shared" si="5"/>
        <v>14043.93</v>
      </c>
      <c r="F44" s="92">
        <f>SUMIF(L2:L40,"Grupo 3",F2:F40)</f>
        <v>12899.03</v>
      </c>
      <c r="G44" s="90">
        <f>SUMIF(L2:L40,"Grupo 3",G2:G40)</f>
        <v>1</v>
      </c>
      <c r="H44" s="98"/>
      <c r="I44" s="98"/>
      <c r="J44" s="90"/>
      <c r="K44" s="95">
        <f>SUMIF(L2:L40,"Grupo 3",K2:K40)</f>
        <v>3919.155002</v>
      </c>
      <c r="L44" s="97"/>
      <c r="M44" s="96">
        <f>SUMIF(L2:L40,"Grupo 3",M2:M40)</f>
        <v>20</v>
      </c>
      <c r="N44" s="97"/>
      <c r="O44" s="99"/>
      <c r="P44" s="91"/>
      <c r="Q44" s="50"/>
    </row>
    <row r="45">
      <c r="A45" s="86" t="s">
        <v>49</v>
      </c>
      <c r="B45" s="89">
        <v>0.0</v>
      </c>
      <c r="C45" s="49"/>
      <c r="D45" s="91"/>
      <c r="E45" s="92">
        <f t="shared" si="5"/>
        <v>0</v>
      </c>
      <c r="F45" s="92">
        <f>SUMIF(L2:L40,"Grupo 4",F2:F40)</f>
        <v>0</v>
      </c>
      <c r="G45" s="91">
        <f>SUMIF(L2:L40,"Grupo 4",G2:G40)</f>
        <v>0</v>
      </c>
      <c r="H45" s="98"/>
      <c r="I45" s="98"/>
      <c r="J45" s="91"/>
      <c r="K45" s="87">
        <f>SUMIF(L2:L40,"Grupo 4",K2:K40)</f>
        <v>0</v>
      </c>
      <c r="L45" s="91"/>
      <c r="M45" s="91">
        <f>SUMIF(L2:L40,"Grupo 4",M2:M40)</f>
        <v>0</v>
      </c>
      <c r="N45" s="99"/>
      <c r="O45" s="99"/>
      <c r="P45" s="91"/>
      <c r="Q45" s="50"/>
    </row>
    <row r="46">
      <c r="A46" s="86" t="s">
        <v>50</v>
      </c>
      <c r="B46" s="89">
        <v>0.0</v>
      </c>
      <c r="C46" s="49"/>
      <c r="D46" s="91"/>
      <c r="E46" s="92">
        <f t="shared" si="5"/>
        <v>0</v>
      </c>
      <c r="F46" s="92">
        <f>SUMIF(L2:L40,"Grupo 5",F2:F40)</f>
        <v>0</v>
      </c>
      <c r="G46" s="91">
        <f>SUMIF(L2:L40,"Grupo 5",G2:G40)</f>
        <v>0</v>
      </c>
      <c r="H46" s="98"/>
      <c r="I46" s="98"/>
      <c r="J46" s="100"/>
      <c r="K46" s="95">
        <f>SUMIF(L2:L40,"Grupo 5",K2:K40)</f>
        <v>0</v>
      </c>
      <c r="L46" s="99"/>
      <c r="M46" s="91">
        <f>SUMIF(L2:L40,"Grupo 5",M2:M40)</f>
        <v>0</v>
      </c>
      <c r="N46" s="99"/>
      <c r="O46" s="99">
        <v>1.0</v>
      </c>
      <c r="P46" s="50"/>
      <c r="Q46" s="50"/>
    </row>
  </sheetData>
  <dataValidations>
    <dataValidation type="list" allowBlank="1" showErrorMessage="1" sqref="L2:L40">
      <formula1>"Grupo 0,Grupo 1,Grupo 2,Grupo 3,Grupo 4,Grupo 5"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75"/>
    <col customWidth="1" min="2" max="2" width="8.0"/>
    <col customWidth="1" min="3" max="3" width="10.25"/>
    <col customWidth="1" min="4" max="4" width="13.0"/>
    <col customWidth="1" min="6" max="7" width="13.63"/>
    <col customWidth="1" min="13" max="14" width="19.38"/>
  </cols>
  <sheetData>
    <row r="1">
      <c r="A1" s="44"/>
      <c r="B1" s="45" t="s">
        <v>51</v>
      </c>
      <c r="C1" s="45" t="s">
        <v>23</v>
      </c>
      <c r="D1" s="45" t="s">
        <v>24</v>
      </c>
      <c r="E1" s="45" t="s">
        <v>25</v>
      </c>
      <c r="F1" s="45" t="s">
        <v>26</v>
      </c>
      <c r="G1" s="45" t="s">
        <v>27</v>
      </c>
      <c r="H1" s="46" t="s">
        <v>29</v>
      </c>
      <c r="I1" s="47" t="s">
        <v>30</v>
      </c>
      <c r="J1" s="47" t="s">
        <v>30</v>
      </c>
      <c r="K1" s="46" t="s">
        <v>31</v>
      </c>
      <c r="L1" s="48">
        <f>'Distruibuição de aporte'!H6</f>
        <v>0</v>
      </c>
      <c r="M1" s="46" t="s">
        <v>52</v>
      </c>
      <c r="N1" s="46" t="s">
        <v>32</v>
      </c>
      <c r="O1" s="46" t="s">
        <v>24</v>
      </c>
      <c r="P1" s="50"/>
      <c r="Q1" s="49" t="s">
        <v>53</v>
      </c>
      <c r="R1" s="49" t="s">
        <v>54</v>
      </c>
      <c r="S1" s="49" t="s">
        <v>55</v>
      </c>
      <c r="T1" s="50"/>
    </row>
    <row r="2">
      <c r="A2" s="51">
        <v>1.0</v>
      </c>
      <c r="B2" s="52" t="s">
        <v>56</v>
      </c>
      <c r="C2" s="52" t="s">
        <v>57</v>
      </c>
      <c r="D2" s="52">
        <v>93.0</v>
      </c>
      <c r="E2" s="71">
        <f>IFERROR(__xludf.DUMMYFUNCTION("GOOGLEFINANCE(B2)"),103.8)</f>
        <v>103.8</v>
      </c>
      <c r="F2" s="54">
        <f t="shared" ref="F2:F21" si="1">D2*E2</f>
        <v>9653.4</v>
      </c>
      <c r="G2" s="55">
        <f>F2/F23</f>
        <v>0.06061303212</v>
      </c>
      <c r="H2" s="55">
        <f>K2/K23</f>
        <v>0.1818181818</v>
      </c>
      <c r="I2" s="101">
        <f>J2/J23</f>
        <v>0.1249158573</v>
      </c>
      <c r="J2" s="102">
        <f>IF(L2=1,E24*H2-F2,0)</f>
        <v>19303.46909</v>
      </c>
      <c r="K2" s="103">
        <f>IF(Balanceamentos!C1&gt;=0,Balanceamentos!C15,0)</f>
        <v>-2</v>
      </c>
      <c r="L2" s="104">
        <f>IFS(M2="Não",0,F2/E24&lt;H2,1,F2/E24&gt;H2,0)</f>
        <v>1</v>
      </c>
      <c r="M2" s="52" t="s">
        <v>58</v>
      </c>
      <c r="N2" s="105">
        <f>I2*L1</f>
        <v>0</v>
      </c>
      <c r="O2" s="106">
        <f t="shared" ref="O2:O17" si="2">IF(N2&gt;0,N2/E2,0)</f>
        <v>0</v>
      </c>
      <c r="P2" s="50"/>
      <c r="Q2" s="107" t="str">
        <f t="shared" ref="Q2:Q22" si="3">IF(O2=0, "" , E2*INT(O2))</f>
        <v/>
      </c>
      <c r="R2" s="108">
        <v>0.78</v>
      </c>
      <c r="S2" s="107" t="str">
        <f t="shared" ref="S2:S22" si="4">IF(O2=0, "" , R2*INT(O2))</f>
        <v/>
      </c>
      <c r="T2" s="50"/>
    </row>
    <row r="3">
      <c r="A3" s="109">
        <v>2.0</v>
      </c>
      <c r="B3" s="108" t="s">
        <v>59</v>
      </c>
      <c r="C3" s="108" t="s">
        <v>57</v>
      </c>
      <c r="D3" s="108">
        <v>94.0</v>
      </c>
      <c r="E3" s="110">
        <f>IFERROR(__xludf.DUMMYFUNCTION("GOOGLEFINANCE(B3)"),101.66)</f>
        <v>101.66</v>
      </c>
      <c r="F3" s="111">
        <f t="shared" si="1"/>
        <v>9556.04</v>
      </c>
      <c r="G3" s="112">
        <f>F3/F23</f>
        <v>0.0600017154</v>
      </c>
      <c r="H3" s="112">
        <f>K3/K23</f>
        <v>0.9090909091</v>
      </c>
      <c r="I3" s="113">
        <f>J3/J23</f>
        <v>0.8750841427</v>
      </c>
      <c r="J3" s="114">
        <f>IF(L3=1,E24*H3-F3,0)</f>
        <v>135228.3055</v>
      </c>
      <c r="K3" s="115">
        <f>Balanceamentos!D15</f>
        <v>-10</v>
      </c>
      <c r="L3" s="116">
        <f>IFS(M3="Não",0,F3/E24&lt;H3,1,F3/E24&gt;H3,0)</f>
        <v>1</v>
      </c>
      <c r="M3" s="108" t="s">
        <v>58</v>
      </c>
      <c r="N3" s="117">
        <f>I3*L1</f>
        <v>0</v>
      </c>
      <c r="O3" s="118">
        <f t="shared" si="2"/>
        <v>0</v>
      </c>
      <c r="P3" s="50"/>
      <c r="Q3" s="107" t="str">
        <f t="shared" si="3"/>
        <v/>
      </c>
      <c r="R3" s="108">
        <v>0.82</v>
      </c>
      <c r="S3" s="107" t="str">
        <f t="shared" si="4"/>
        <v/>
      </c>
      <c r="T3" s="50"/>
    </row>
    <row r="4">
      <c r="A4" s="51">
        <v>3.0</v>
      </c>
      <c r="B4" s="76" t="s">
        <v>60</v>
      </c>
      <c r="C4" s="52" t="s">
        <v>57</v>
      </c>
      <c r="D4" s="52">
        <v>59.0</v>
      </c>
      <c r="E4" s="71">
        <f>IFERROR(__xludf.DUMMYFUNCTION("GOOGLEFINANCE(B4)"),155.6)</f>
        <v>155.6</v>
      </c>
      <c r="F4" s="54">
        <f t="shared" si="1"/>
        <v>9180.4</v>
      </c>
      <c r="G4" s="55">
        <f>F4/F23</f>
        <v>0.05764309778</v>
      </c>
      <c r="H4" s="55">
        <f>K4/K23</f>
        <v>-0.09090909091</v>
      </c>
      <c r="I4" s="101">
        <f>J4/J23</f>
        <v>0</v>
      </c>
      <c r="J4" s="102">
        <f>IF(L4=1,E24*H4-F4,0)</f>
        <v>0</v>
      </c>
      <c r="K4" s="103">
        <f>Balanceamentos!E15</f>
        <v>1</v>
      </c>
      <c r="L4" s="104">
        <f>IFS(M4="Não",0,F4/E24&lt;H4,1,F4/E24&gt;H4,0)</f>
        <v>0</v>
      </c>
      <c r="M4" s="52" t="s">
        <v>58</v>
      </c>
      <c r="N4" s="105">
        <f>I4*L1</f>
        <v>0</v>
      </c>
      <c r="O4" s="106">
        <f t="shared" si="2"/>
        <v>0</v>
      </c>
      <c r="P4" s="50"/>
      <c r="Q4" s="107" t="str">
        <f t="shared" si="3"/>
        <v/>
      </c>
      <c r="R4" s="108">
        <v>1.1</v>
      </c>
      <c r="S4" s="107" t="str">
        <f t="shared" si="4"/>
        <v/>
      </c>
      <c r="T4" s="50"/>
    </row>
    <row r="5">
      <c r="A5" s="119">
        <v>4.0</v>
      </c>
      <c r="B5" s="108" t="s">
        <v>61</v>
      </c>
      <c r="C5" s="108" t="s">
        <v>57</v>
      </c>
      <c r="D5" s="108">
        <v>1057.0</v>
      </c>
      <c r="E5" s="110">
        <f>IFERROR(__xludf.DUMMYFUNCTION("GOOGLEFINANCE(B5)"),8.36)</f>
        <v>8.36</v>
      </c>
      <c r="F5" s="111">
        <f t="shared" si="1"/>
        <v>8836.52</v>
      </c>
      <c r="G5" s="112">
        <f>F5/F23</f>
        <v>0.055483899</v>
      </c>
      <c r="H5" s="112">
        <f>K5/K23</f>
        <v>0</v>
      </c>
      <c r="I5" s="113">
        <f>J5/J23</f>
        <v>0</v>
      </c>
      <c r="J5" s="114">
        <f>IF(L5=1,E24*H5-F5,0)</f>
        <v>0</v>
      </c>
      <c r="K5" s="115">
        <f>Balanceamentos!F15</f>
        <v>0</v>
      </c>
      <c r="L5" s="116">
        <f>IFS(M5="Não",0,F5/E24&lt;H5,1,F5/E24&gt;H5,0)</f>
        <v>0</v>
      </c>
      <c r="M5" s="108" t="s">
        <v>58</v>
      </c>
      <c r="N5" s="117">
        <f>I5*L1</f>
        <v>0</v>
      </c>
      <c r="O5" s="118">
        <f t="shared" si="2"/>
        <v>0</v>
      </c>
      <c r="P5" s="50"/>
      <c r="Q5" s="107" t="str">
        <f t="shared" si="3"/>
        <v/>
      </c>
      <c r="R5" s="108">
        <v>0.083</v>
      </c>
      <c r="S5" s="107" t="str">
        <f t="shared" si="4"/>
        <v/>
      </c>
      <c r="T5" s="50"/>
    </row>
    <row r="6">
      <c r="A6" s="51">
        <v>5.0</v>
      </c>
      <c r="B6" s="52" t="s">
        <v>62</v>
      </c>
      <c r="C6" s="52" t="s">
        <v>57</v>
      </c>
      <c r="D6" s="52">
        <v>909.0</v>
      </c>
      <c r="E6" s="71">
        <f>IFERROR(__xludf.DUMMYFUNCTION("GOOGLEFINANCE(B6)"),10.18)</f>
        <v>10.18</v>
      </c>
      <c r="F6" s="54">
        <f t="shared" si="1"/>
        <v>9253.62</v>
      </c>
      <c r="G6" s="55">
        <f>F6/F23</f>
        <v>0.0581028411</v>
      </c>
      <c r="H6" s="55">
        <f>K6/K23</f>
        <v>0</v>
      </c>
      <c r="I6" s="101">
        <f>J6/J23</f>
        <v>0</v>
      </c>
      <c r="J6" s="102">
        <f>IF(L6=1,E24*H6-F6,0)</f>
        <v>0</v>
      </c>
      <c r="K6" s="103">
        <f>Balanceamentos!G15</f>
        <v>0</v>
      </c>
      <c r="L6" s="104">
        <f>IFS(M6="Não",0,F6/E24&lt;H6,1,F6/E24&gt;H6,0)</f>
        <v>0</v>
      </c>
      <c r="M6" s="52" t="s">
        <v>58</v>
      </c>
      <c r="N6" s="105">
        <f>I6*L1</f>
        <v>0</v>
      </c>
      <c r="O6" s="106">
        <f t="shared" si="2"/>
        <v>0</v>
      </c>
      <c r="P6" s="50"/>
      <c r="Q6" s="107" t="str">
        <f t="shared" si="3"/>
        <v/>
      </c>
      <c r="R6" s="108">
        <v>0.1</v>
      </c>
      <c r="S6" s="107" t="str">
        <f t="shared" si="4"/>
        <v/>
      </c>
      <c r="T6" s="50"/>
    </row>
    <row r="7">
      <c r="A7" s="119">
        <v>6.0</v>
      </c>
      <c r="B7" s="108" t="s">
        <v>63</v>
      </c>
      <c r="C7" s="108" t="s">
        <v>64</v>
      </c>
      <c r="D7" s="108">
        <v>460.0</v>
      </c>
      <c r="E7" s="110">
        <f>IFERROR(__xludf.DUMMYFUNCTION("GOOGLEFINANCE(B7)"),20.23)</f>
        <v>20.23</v>
      </c>
      <c r="F7" s="111">
        <f t="shared" si="1"/>
        <v>9305.8</v>
      </c>
      <c r="G7" s="112">
        <f>F7/F23</f>
        <v>0.05843047572</v>
      </c>
      <c r="H7" s="112">
        <f>K7/K23</f>
        <v>0</v>
      </c>
      <c r="I7" s="113">
        <f>J7/J23</f>
        <v>0</v>
      </c>
      <c r="J7" s="114">
        <f>IF(L7=1,E24*H7-F7,0)</f>
        <v>0</v>
      </c>
      <c r="K7" s="115">
        <f>Balanceamentos!H15</f>
        <v>0</v>
      </c>
      <c r="L7" s="116">
        <f>IFS(M7="Não",0,F7/E24&lt;H7,1,F7/E24&gt;H7,0)</f>
        <v>0</v>
      </c>
      <c r="M7" s="108" t="s">
        <v>58</v>
      </c>
      <c r="N7" s="117">
        <f>I7*L1</f>
        <v>0</v>
      </c>
      <c r="O7" s="118">
        <f t="shared" si="2"/>
        <v>0</v>
      </c>
      <c r="P7" s="50"/>
      <c r="Q7" s="107" t="str">
        <f t="shared" si="3"/>
        <v/>
      </c>
      <c r="R7" s="108">
        <v>1.6</v>
      </c>
      <c r="S7" s="107" t="str">
        <f t="shared" si="4"/>
        <v/>
      </c>
      <c r="T7" s="50"/>
    </row>
    <row r="8">
      <c r="A8" s="51">
        <v>7.0</v>
      </c>
      <c r="B8" s="52" t="s">
        <v>65</v>
      </c>
      <c r="C8" s="52" t="s">
        <v>64</v>
      </c>
      <c r="D8" s="52">
        <v>109.0</v>
      </c>
      <c r="E8" s="71">
        <f>IFERROR(__xludf.DUMMYFUNCTION("GOOGLEFINANCE(B8)"),95.0)</f>
        <v>95</v>
      </c>
      <c r="F8" s="54">
        <f t="shared" si="1"/>
        <v>10355</v>
      </c>
      <c r="G8" s="55">
        <f>F8/F23</f>
        <v>0.06501833008</v>
      </c>
      <c r="H8" s="55">
        <f>K8/K23</f>
        <v>0</v>
      </c>
      <c r="I8" s="101">
        <f>J8/J23</f>
        <v>0</v>
      </c>
      <c r="J8" s="102">
        <f>IF(L8=1,E24*H8-F8,0)</f>
        <v>0</v>
      </c>
      <c r="K8" s="103">
        <f>Balanceamentos!I15</f>
        <v>0</v>
      </c>
      <c r="L8" s="104">
        <f>IFS(M8="Não",0,F8/E24&lt;H8,1,F8/E24&gt;H8,0)</f>
        <v>0</v>
      </c>
      <c r="M8" s="52" t="s">
        <v>58</v>
      </c>
      <c r="N8" s="105">
        <f>I8*L1</f>
        <v>0</v>
      </c>
      <c r="O8" s="106">
        <f t="shared" si="2"/>
        <v>0</v>
      </c>
      <c r="P8" s="50"/>
      <c r="Q8" s="107" t="str">
        <f t="shared" si="3"/>
        <v/>
      </c>
      <c r="R8" s="108">
        <v>0.65</v>
      </c>
      <c r="S8" s="107" t="str">
        <f t="shared" si="4"/>
        <v/>
      </c>
      <c r="T8" s="50"/>
    </row>
    <row r="9">
      <c r="A9" s="119">
        <v>8.0</v>
      </c>
      <c r="B9" s="108" t="s">
        <v>66</v>
      </c>
      <c r="C9" s="108" t="s">
        <v>67</v>
      </c>
      <c r="D9" s="108">
        <v>76.0</v>
      </c>
      <c r="E9" s="110">
        <f>IFERROR(__xludf.DUMMYFUNCTION("GOOGLEFINANCE(B9)"),129.27)</f>
        <v>129.27</v>
      </c>
      <c r="F9" s="111">
        <f t="shared" si="1"/>
        <v>9824.52</v>
      </c>
      <c r="G9" s="112">
        <f>F9/F23</f>
        <v>0.06168748279</v>
      </c>
      <c r="H9" s="112">
        <f>K9/K23</f>
        <v>0</v>
      </c>
      <c r="I9" s="113">
        <f>J9/J23</f>
        <v>0</v>
      </c>
      <c r="J9" s="114">
        <f>IF(L9=1,E24*H9-F9,0)</f>
        <v>0</v>
      </c>
      <c r="K9" s="115">
        <f>Balanceamentos!J15</f>
        <v>0</v>
      </c>
      <c r="L9" s="116">
        <f>IFS(M9="Não",0,F9/E24&lt;H9,1,F9/E24&gt;H9,0)</f>
        <v>0</v>
      </c>
      <c r="M9" s="108" t="s">
        <v>58</v>
      </c>
      <c r="N9" s="117">
        <f>I9*L1</f>
        <v>0</v>
      </c>
      <c r="O9" s="118">
        <f t="shared" si="2"/>
        <v>0</v>
      </c>
      <c r="P9" s="50"/>
      <c r="Q9" s="107" t="str">
        <f t="shared" si="3"/>
        <v/>
      </c>
      <c r="R9" s="108">
        <v>0.9</v>
      </c>
      <c r="S9" s="107" t="str">
        <f t="shared" si="4"/>
        <v/>
      </c>
      <c r="T9" s="50"/>
    </row>
    <row r="10">
      <c r="A10" s="51">
        <v>9.0</v>
      </c>
      <c r="B10" s="52" t="s">
        <v>68</v>
      </c>
      <c r="C10" s="52" t="s">
        <v>67</v>
      </c>
      <c r="D10" s="52">
        <v>186.0</v>
      </c>
      <c r="E10" s="71">
        <f>IFERROR(__xludf.DUMMYFUNCTION("GOOGLEFINANCE(B10)"),55.69)</f>
        <v>55.69</v>
      </c>
      <c r="F10" s="54">
        <f t="shared" si="1"/>
        <v>10358.34</v>
      </c>
      <c r="G10" s="55">
        <f>F10/F23</f>
        <v>0.06503930171</v>
      </c>
      <c r="H10" s="55">
        <f>K10/K23</f>
        <v>0</v>
      </c>
      <c r="I10" s="101">
        <f>J10/J23</f>
        <v>0</v>
      </c>
      <c r="J10" s="102">
        <f>IF(L10=1,E24*H10-F10,0)</f>
        <v>0</v>
      </c>
      <c r="K10" s="103">
        <f>Balanceamentos!K15</f>
        <v>0</v>
      </c>
      <c r="L10" s="104">
        <f>IFS(M10="Não",0,F10/E24&lt;H10,1,F10/E24&gt;H10,0)</f>
        <v>0</v>
      </c>
      <c r="M10" s="52" t="s">
        <v>58</v>
      </c>
      <c r="N10" s="105">
        <f>I10*L1</f>
        <v>0</v>
      </c>
      <c r="O10" s="106">
        <f t="shared" si="2"/>
        <v>0</v>
      </c>
      <c r="P10" s="50"/>
      <c r="Q10" s="107" t="str">
        <f t="shared" si="3"/>
        <v/>
      </c>
      <c r="R10" s="108">
        <v>0.5823</v>
      </c>
      <c r="S10" s="107" t="str">
        <f t="shared" si="4"/>
        <v/>
      </c>
      <c r="T10" s="50"/>
    </row>
    <row r="11">
      <c r="A11" s="119">
        <v>10.0</v>
      </c>
      <c r="B11" s="108" t="s">
        <v>69</v>
      </c>
      <c r="C11" s="108" t="s">
        <v>67</v>
      </c>
      <c r="D11" s="108">
        <v>90.0</v>
      </c>
      <c r="E11" s="110">
        <f>IFERROR(__xludf.DUMMYFUNCTION("GOOGLEFINANCE(B11)"),91.76)</f>
        <v>91.76</v>
      </c>
      <c r="F11" s="111">
        <f t="shared" si="1"/>
        <v>8258.4</v>
      </c>
      <c r="G11" s="112">
        <f>F11/F23</f>
        <v>0.05185392343</v>
      </c>
      <c r="H11" s="112">
        <f>K11/K23</f>
        <v>0</v>
      </c>
      <c r="I11" s="113">
        <f>J11/J23</f>
        <v>0</v>
      </c>
      <c r="J11" s="114">
        <f>IF(L11=1,E24*H11-F11,0)</f>
        <v>0</v>
      </c>
      <c r="K11" s="115">
        <f>Balanceamentos!L15</f>
        <v>0</v>
      </c>
      <c r="L11" s="116">
        <f>IFS(M11="Não",0,F11/E24&lt;H11,1,F11/E24&gt;H11,0)</f>
        <v>0</v>
      </c>
      <c r="M11" s="108" t="s">
        <v>58</v>
      </c>
      <c r="N11" s="117">
        <f>I11*L1</f>
        <v>0</v>
      </c>
      <c r="O11" s="118">
        <f t="shared" si="2"/>
        <v>0</v>
      </c>
      <c r="P11" s="50"/>
      <c r="Q11" s="107" t="str">
        <f t="shared" si="3"/>
        <v/>
      </c>
      <c r="R11" s="108">
        <v>0.93</v>
      </c>
      <c r="S11" s="107" t="str">
        <f t="shared" si="4"/>
        <v/>
      </c>
      <c r="T11" s="50"/>
    </row>
    <row r="12" ht="15.0" customHeight="1">
      <c r="A12" s="51">
        <v>11.0</v>
      </c>
      <c r="B12" s="52" t="s">
        <v>70</v>
      </c>
      <c r="C12" s="52" t="s">
        <v>67</v>
      </c>
      <c r="D12" s="52">
        <v>120.0</v>
      </c>
      <c r="E12" s="71">
        <f>IFERROR(__xludf.DUMMYFUNCTION("GOOGLEFINANCE(B12)"),90.06)</f>
        <v>90.06</v>
      </c>
      <c r="F12" s="54">
        <f t="shared" si="1"/>
        <v>10807.2</v>
      </c>
      <c r="G12" s="55">
        <f>F12/F23</f>
        <v>0.06785766266</v>
      </c>
      <c r="H12" s="55">
        <f>K12/K23</f>
        <v>0</v>
      </c>
      <c r="I12" s="101">
        <f>J12/J23</f>
        <v>0</v>
      </c>
      <c r="J12" s="102">
        <f>IF(L12=1,E24*H12-F12,0)</f>
        <v>0</v>
      </c>
      <c r="K12" s="103">
        <f>Balanceamentos!M15</f>
        <v>0</v>
      </c>
      <c r="L12" s="104">
        <f>IFS(M12="Não",0,F12/E24&lt;H12,1,F12/E24&gt;H12,0)</f>
        <v>0</v>
      </c>
      <c r="M12" s="52" t="s">
        <v>58</v>
      </c>
      <c r="N12" s="105">
        <f>I12*L1</f>
        <v>0</v>
      </c>
      <c r="O12" s="106">
        <f t="shared" si="2"/>
        <v>0</v>
      </c>
      <c r="P12" s="50"/>
      <c r="Q12" s="107" t="str">
        <f t="shared" si="3"/>
        <v/>
      </c>
      <c r="R12" s="108">
        <v>1.1</v>
      </c>
      <c r="S12" s="107" t="str">
        <f t="shared" si="4"/>
        <v/>
      </c>
      <c r="T12" s="50"/>
    </row>
    <row r="13">
      <c r="A13" s="119">
        <v>12.0</v>
      </c>
      <c r="B13" s="108" t="s">
        <v>71</v>
      </c>
      <c r="C13" s="108" t="s">
        <v>72</v>
      </c>
      <c r="D13" s="108">
        <v>10.0</v>
      </c>
      <c r="E13" s="110">
        <f>IFERROR(__xludf.DUMMYFUNCTION("GOOGLEFINANCE(B13)"),105.03)</f>
        <v>105.03</v>
      </c>
      <c r="F13" s="111">
        <f t="shared" si="1"/>
        <v>1050.3</v>
      </c>
      <c r="G13" s="112">
        <f>F13/F23</f>
        <v>0.006594761187</v>
      </c>
      <c r="H13" s="112">
        <f>K13/K23</f>
        <v>0</v>
      </c>
      <c r="I13" s="113">
        <f>J13/J23</f>
        <v>0</v>
      </c>
      <c r="J13" s="114">
        <f>IF(L13=1,E24*H13-F13,0)</f>
        <v>0</v>
      </c>
      <c r="K13" s="115">
        <f>Balanceamentos!N15</f>
        <v>0</v>
      </c>
      <c r="L13" s="116">
        <f>IFS(M13="Não",0,F13/E24&lt;H13,1,F13/E24&gt;H13,0)</f>
        <v>0</v>
      </c>
      <c r="M13" s="108" t="s">
        <v>58</v>
      </c>
      <c r="N13" s="117">
        <f>I13*L1</f>
        <v>0</v>
      </c>
      <c r="O13" s="118">
        <f t="shared" si="2"/>
        <v>0</v>
      </c>
      <c r="P13" s="50"/>
      <c r="Q13" s="107" t="str">
        <f t="shared" si="3"/>
        <v/>
      </c>
      <c r="R13" s="108">
        <v>0.95</v>
      </c>
      <c r="S13" s="107" t="str">
        <f t="shared" si="4"/>
        <v/>
      </c>
      <c r="T13" s="50"/>
    </row>
    <row r="14">
      <c r="A14" s="51">
        <v>13.0</v>
      </c>
      <c r="B14" s="52" t="s">
        <v>73</v>
      </c>
      <c r="C14" s="52" t="s">
        <v>72</v>
      </c>
      <c r="D14" s="52">
        <v>224.0</v>
      </c>
      <c r="E14" s="71">
        <f>IFERROR(__xludf.DUMMYFUNCTION("GOOGLEFINANCE(B14)"),8.88)</f>
        <v>8.88</v>
      </c>
      <c r="F14" s="54">
        <f t="shared" si="1"/>
        <v>1989.12</v>
      </c>
      <c r="G14" s="55">
        <f>F14/F23</f>
        <v>0.01248954715</v>
      </c>
      <c r="H14" s="55">
        <f>K14/K23</f>
        <v>0</v>
      </c>
      <c r="I14" s="101">
        <f>J14/J23</f>
        <v>0</v>
      </c>
      <c r="J14" s="102">
        <f>IF(L14=1,E24*H14-F14,0)</f>
        <v>0</v>
      </c>
      <c r="K14" s="103">
        <f>Balanceamentos!O15</f>
        <v>0</v>
      </c>
      <c r="L14" s="104">
        <f>IFS(M14="Não",0,F14/E24&lt;H14,1,F14/E24&gt;H14,0)</f>
        <v>0</v>
      </c>
      <c r="M14" s="52" t="s">
        <v>58</v>
      </c>
      <c r="N14" s="105">
        <f>I14*L1</f>
        <v>0</v>
      </c>
      <c r="O14" s="106">
        <f t="shared" si="2"/>
        <v>0</v>
      </c>
      <c r="P14" s="50"/>
      <c r="Q14" s="107" t="str">
        <f t="shared" si="3"/>
        <v/>
      </c>
      <c r="R14" s="108">
        <v>0.08</v>
      </c>
      <c r="S14" s="107" t="str">
        <f t="shared" si="4"/>
        <v/>
      </c>
      <c r="T14" s="50"/>
    </row>
    <row r="15">
      <c r="A15" s="119">
        <v>14.0</v>
      </c>
      <c r="B15" s="108" t="s">
        <v>74</v>
      </c>
      <c r="C15" s="108" t="s">
        <v>72</v>
      </c>
      <c r="D15" s="108">
        <v>305.0</v>
      </c>
      <c r="E15" s="110">
        <f>IFERROR(__xludf.DUMMYFUNCTION("GOOGLEFINANCE(B15)"),9.72)</f>
        <v>9.72</v>
      </c>
      <c r="F15" s="111">
        <f t="shared" si="1"/>
        <v>2964.6</v>
      </c>
      <c r="G15" s="112">
        <f>F15/F23</f>
        <v>0.01861451872</v>
      </c>
      <c r="H15" s="112">
        <f>K15/K23</f>
        <v>0</v>
      </c>
      <c r="I15" s="113">
        <f>J15/J23</f>
        <v>0</v>
      </c>
      <c r="J15" s="114">
        <f>IF(L15=1,E24*H15-F15,0)</f>
        <v>0</v>
      </c>
      <c r="K15" s="115">
        <f>Balanceamentos!P15</f>
        <v>0</v>
      </c>
      <c r="L15" s="116">
        <f>IFS(M15="Não",0,F15/E24&lt;H15,1,F15/E24&gt;H15,0)</f>
        <v>0</v>
      </c>
      <c r="M15" s="108" t="s">
        <v>58</v>
      </c>
      <c r="N15" s="117">
        <f>I15*L1</f>
        <v>0</v>
      </c>
      <c r="O15" s="118">
        <f t="shared" si="2"/>
        <v>0</v>
      </c>
      <c r="P15" s="50"/>
      <c r="Q15" s="107" t="str">
        <f t="shared" si="3"/>
        <v/>
      </c>
      <c r="R15" s="108">
        <v>0.1</v>
      </c>
      <c r="S15" s="107" t="str">
        <f t="shared" si="4"/>
        <v/>
      </c>
      <c r="T15" s="50"/>
    </row>
    <row r="16">
      <c r="A16" s="51">
        <v>15.0</v>
      </c>
      <c r="B16" s="52" t="s">
        <v>75</v>
      </c>
      <c r="C16" s="52" t="s">
        <v>72</v>
      </c>
      <c r="D16" s="52">
        <v>62.0</v>
      </c>
      <c r="E16" s="71">
        <f>IFERROR(__xludf.DUMMYFUNCTION("GOOGLEFINANCE(""BVMF:PCIP11"")"),85.5)</f>
        <v>85.5</v>
      </c>
      <c r="F16" s="54">
        <f t="shared" si="1"/>
        <v>5301</v>
      </c>
      <c r="G16" s="55">
        <f>F16/F23</f>
        <v>0.03328461302</v>
      </c>
      <c r="H16" s="55">
        <f>K16/K23</f>
        <v>0</v>
      </c>
      <c r="I16" s="101">
        <f>J16/J23</f>
        <v>0</v>
      </c>
      <c r="J16" s="102">
        <f>IF(L16=1,E24*H16-F16,0)</f>
        <v>0</v>
      </c>
      <c r="K16" s="103">
        <f>Balanceamentos!Q15</f>
        <v>0</v>
      </c>
      <c r="L16" s="104">
        <f>IFS(M16="Não",0,F16/E24&lt;H16,1,F16/E24&gt;H16,0)</f>
        <v>0</v>
      </c>
      <c r="M16" s="52" t="s">
        <v>58</v>
      </c>
      <c r="N16" s="105">
        <f>I16*L1</f>
        <v>0</v>
      </c>
      <c r="O16" s="106">
        <f t="shared" si="2"/>
        <v>0</v>
      </c>
      <c r="P16" s="50"/>
      <c r="Q16" s="107" t="str">
        <f t="shared" si="3"/>
        <v/>
      </c>
      <c r="R16" s="108">
        <v>0.9</v>
      </c>
      <c r="S16" s="107" t="str">
        <f t="shared" si="4"/>
        <v/>
      </c>
      <c r="T16" s="50"/>
    </row>
    <row r="17">
      <c r="A17" s="119">
        <v>16.0</v>
      </c>
      <c r="B17" s="108" t="s">
        <v>76</v>
      </c>
      <c r="C17" s="108" t="s">
        <v>77</v>
      </c>
      <c r="D17" s="108">
        <v>105.0</v>
      </c>
      <c r="E17" s="110">
        <f>IFERROR(__xludf.DUMMYFUNCTION("GOOGLEFINANCE(""BVMF:CPTI11"")"),89.45)</f>
        <v>89.45</v>
      </c>
      <c r="F17" s="111">
        <f t="shared" si="1"/>
        <v>9392.25</v>
      </c>
      <c r="G17" s="112">
        <f>F17/F23</f>
        <v>0.0589732893</v>
      </c>
      <c r="H17" s="112">
        <f>K17/K23</f>
        <v>0</v>
      </c>
      <c r="I17" s="113">
        <f>J17/J23</f>
        <v>0</v>
      </c>
      <c r="J17" s="114">
        <f>IF(L17=1,E24*H17-F17,0)</f>
        <v>0</v>
      </c>
      <c r="K17" s="115">
        <f>Balanceamentos!R15</f>
        <v>0</v>
      </c>
      <c r="L17" s="116">
        <f>IFS(M17="Não",0,F17/E24&lt;H17,1,F17/E24&gt;H17,0)</f>
        <v>0</v>
      </c>
      <c r="M17" s="108" t="s">
        <v>58</v>
      </c>
      <c r="N17" s="117">
        <f>I17*L1</f>
        <v>0</v>
      </c>
      <c r="O17" s="118">
        <f t="shared" si="2"/>
        <v>0</v>
      </c>
      <c r="P17" s="50"/>
      <c r="Q17" s="107" t="str">
        <f t="shared" si="3"/>
        <v/>
      </c>
      <c r="R17" s="108">
        <v>1.0</v>
      </c>
      <c r="S17" s="107" t="str">
        <f t="shared" si="4"/>
        <v/>
      </c>
      <c r="T17" s="50"/>
    </row>
    <row r="18">
      <c r="A18" s="51">
        <v>17.0</v>
      </c>
      <c r="B18" s="52" t="s">
        <v>78</v>
      </c>
      <c r="C18" s="52" t="s">
        <v>77</v>
      </c>
      <c r="D18" s="52">
        <v>93.0</v>
      </c>
      <c r="E18" s="71">
        <f>IFERROR(__xludf.DUMMYFUNCTION("GOOGLEFINANCE(B18)"),102.99)</f>
        <v>102.99</v>
      </c>
      <c r="F18" s="54">
        <f t="shared" si="1"/>
        <v>9578.07</v>
      </c>
      <c r="G18" s="55">
        <f>F18/F23</f>
        <v>0.06014004025</v>
      </c>
      <c r="H18" s="55">
        <f>K18/K23</f>
        <v>0</v>
      </c>
      <c r="I18" s="101">
        <f>J18/J23</f>
        <v>0</v>
      </c>
      <c r="J18" s="102">
        <f>IF(L18=1,E24*H18-F18,0)</f>
        <v>0</v>
      </c>
      <c r="K18" s="103">
        <f>Balanceamentos!S15</f>
        <v>0</v>
      </c>
      <c r="L18" s="104">
        <f>IFS(M18="Não",0,F18/E24&lt;H18,1,F18/E24&gt;H18,0)</f>
        <v>0</v>
      </c>
      <c r="M18" s="52" t="s">
        <v>58</v>
      </c>
      <c r="N18" s="105">
        <f>I18*L1</f>
        <v>0</v>
      </c>
      <c r="O18" s="106">
        <f>IF(N18&gt;0,N18/E18,0)</f>
        <v>0</v>
      </c>
      <c r="P18" s="50"/>
      <c r="Q18" s="107" t="str">
        <f t="shared" si="3"/>
        <v/>
      </c>
      <c r="R18" s="108">
        <v>1.0</v>
      </c>
      <c r="S18" s="107" t="str">
        <f t="shared" si="4"/>
        <v/>
      </c>
      <c r="T18" s="50"/>
    </row>
    <row r="19">
      <c r="A19" s="119">
        <v>18.0</v>
      </c>
      <c r="B19" s="108" t="s">
        <v>79</v>
      </c>
      <c r="C19" s="108" t="s">
        <v>80</v>
      </c>
      <c r="D19" s="108">
        <v>101.0</v>
      </c>
      <c r="E19" s="110">
        <f>IFERROR(__xludf.DUMMYFUNCTION("GOOGLEFINANCE(""BVMF:RZTR11"")"),95.26)</f>
        <v>95.26</v>
      </c>
      <c r="F19" s="111">
        <f t="shared" si="1"/>
        <v>9621.26</v>
      </c>
      <c r="G19" s="112">
        <f>F19/F23</f>
        <v>0.06041122728</v>
      </c>
      <c r="H19" s="112">
        <f>K19/K23</f>
        <v>0</v>
      </c>
      <c r="I19" s="113">
        <f>J19/J23</f>
        <v>0</v>
      </c>
      <c r="J19" s="114">
        <f>IF(L19=1,E24*H19-F19,0)</f>
        <v>0</v>
      </c>
      <c r="K19" s="115">
        <f>Balanceamentos!T15</f>
        <v>0</v>
      </c>
      <c r="L19" s="116">
        <f>IFS(M19="Não",0,F19/E24&lt;H19,1,F19/E24&gt;H19,0)</f>
        <v>0</v>
      </c>
      <c r="M19" s="108" t="s">
        <v>58</v>
      </c>
      <c r="N19" s="117">
        <f>I19*L1</f>
        <v>0</v>
      </c>
      <c r="O19" s="118">
        <f t="shared" ref="O19:O22" si="5">IF(N19&gt;0,N19/E19,0)</f>
        <v>0</v>
      </c>
      <c r="P19" s="50"/>
      <c r="Q19" s="107" t="str">
        <f t="shared" si="3"/>
        <v/>
      </c>
      <c r="R19" s="108">
        <v>1.05</v>
      </c>
      <c r="S19" s="107" t="str">
        <f t="shared" si="4"/>
        <v/>
      </c>
      <c r="T19" s="50"/>
    </row>
    <row r="20">
      <c r="A20" s="51">
        <v>19.0</v>
      </c>
      <c r="B20" s="52" t="s">
        <v>81</v>
      </c>
      <c r="C20" s="52" t="s">
        <v>82</v>
      </c>
      <c r="D20" s="52">
        <v>518.0</v>
      </c>
      <c r="E20" s="71">
        <f>IFERROR(__xludf.DUMMYFUNCTION("GOOGLEFINANCE(B20)"),10.68)</f>
        <v>10.68</v>
      </c>
      <c r="F20" s="54">
        <f t="shared" si="1"/>
        <v>5532.24</v>
      </c>
      <c r="G20" s="55">
        <f>F20/F23</f>
        <v>0.03473655301</v>
      </c>
      <c r="H20" s="55">
        <f>K20/K23</f>
        <v>0</v>
      </c>
      <c r="I20" s="101">
        <f>J20/J23</f>
        <v>0</v>
      </c>
      <c r="J20" s="102">
        <f>IF(L20=1,E24*H20-F20,0)</f>
        <v>0</v>
      </c>
      <c r="K20" s="103">
        <f>Balanceamentos!U15</f>
        <v>0</v>
      </c>
      <c r="L20" s="104">
        <f>IFS(M20="Não",0,F20/E24&lt;H20,1,F20/E24&gt;H20,0)</f>
        <v>0</v>
      </c>
      <c r="M20" s="52" t="s">
        <v>58</v>
      </c>
      <c r="N20" s="105">
        <f>I20*L1</f>
        <v>0</v>
      </c>
      <c r="O20" s="106">
        <f t="shared" si="5"/>
        <v>0</v>
      </c>
      <c r="P20" s="50"/>
      <c r="Q20" s="107" t="str">
        <f t="shared" si="3"/>
        <v/>
      </c>
      <c r="R20" s="108">
        <v>0.1</v>
      </c>
      <c r="S20" s="107" t="str">
        <f t="shared" si="4"/>
        <v/>
      </c>
      <c r="T20" s="50"/>
    </row>
    <row r="21">
      <c r="A21" s="119">
        <v>20.0</v>
      </c>
      <c r="B21" s="108" t="s">
        <v>83</v>
      </c>
      <c r="C21" s="108" t="s">
        <v>84</v>
      </c>
      <c r="D21" s="108">
        <v>990.0</v>
      </c>
      <c r="E21" s="110">
        <f>IFERROR(__xludf.DUMMYFUNCTION("GOOGLEFINANCE(B21)"),8.53)</f>
        <v>8.53</v>
      </c>
      <c r="F21" s="111">
        <f t="shared" si="1"/>
        <v>8444.7</v>
      </c>
      <c r="G21" s="112">
        <f>F21/F23</f>
        <v>0.05302368827</v>
      </c>
      <c r="H21" s="112">
        <f>K21/K23</f>
        <v>0</v>
      </c>
      <c r="I21" s="113">
        <f>J21/J23</f>
        <v>0</v>
      </c>
      <c r="J21" s="114">
        <f>IF(L21=1,E24*H21-F21,0)</f>
        <v>0</v>
      </c>
      <c r="K21" s="115">
        <f>Balanceamentos!V15</f>
        <v>0</v>
      </c>
      <c r="L21" s="116">
        <f>IFS(M21="Não",0,F21/E24&lt;H21,1,F21/E24&gt;H21,0)</f>
        <v>0</v>
      </c>
      <c r="M21" s="108" t="s">
        <v>58</v>
      </c>
      <c r="N21" s="117">
        <f>I21*L1</f>
        <v>0</v>
      </c>
      <c r="O21" s="118">
        <f t="shared" si="5"/>
        <v>0</v>
      </c>
      <c r="P21" s="50"/>
      <c r="Q21" s="107" t="str">
        <f t="shared" si="3"/>
        <v/>
      </c>
      <c r="R21" s="108">
        <v>0.1</v>
      </c>
      <c r="S21" s="107" t="str">
        <f t="shared" si="4"/>
        <v/>
      </c>
      <c r="T21" s="50"/>
    </row>
    <row r="22">
      <c r="A22" s="51">
        <v>21.0</v>
      </c>
      <c r="B22" s="83"/>
      <c r="C22" s="83"/>
      <c r="D22" s="83"/>
      <c r="E22" s="83"/>
      <c r="F22" s="53"/>
      <c r="G22" s="120"/>
      <c r="H22" s="55"/>
      <c r="I22" s="101">
        <f>J22/J23</f>
        <v>0</v>
      </c>
      <c r="J22" s="102">
        <f>IF(L22=1,E24*H22-F22,0)</f>
        <v>0</v>
      </c>
      <c r="K22" s="104">
        <f>Balanceamentos!W15</f>
        <v>0</v>
      </c>
      <c r="L22" s="104">
        <f>IFS(M22="Não",0,F22/E24&lt;H22,1,F22/E24&gt;H22,0)</f>
        <v>0</v>
      </c>
      <c r="M22" s="52" t="s">
        <v>85</v>
      </c>
      <c r="N22" s="105">
        <f>I22*L1</f>
        <v>0</v>
      </c>
      <c r="O22" s="106">
        <f t="shared" si="5"/>
        <v>0</v>
      </c>
      <c r="P22" s="50"/>
      <c r="Q22" s="107" t="str">
        <f t="shared" si="3"/>
        <v/>
      </c>
      <c r="S22" s="107" t="str">
        <f t="shared" si="4"/>
        <v/>
      </c>
      <c r="T22" s="50"/>
    </row>
    <row r="23">
      <c r="A23" s="86"/>
      <c r="B23" s="49" t="s">
        <v>42</v>
      </c>
      <c r="C23" s="50"/>
      <c r="D23" s="50"/>
      <c r="E23" s="88">
        <f t="shared" ref="E23:K23" si="6">SUM(E2:E22)</f>
        <v>1377.65</v>
      </c>
      <c r="F23" s="88">
        <f t="shared" si="6"/>
        <v>159262.78</v>
      </c>
      <c r="G23" s="61">
        <f t="shared" si="6"/>
        <v>1</v>
      </c>
      <c r="H23" s="89">
        <f t="shared" si="6"/>
        <v>1</v>
      </c>
      <c r="I23" s="121">
        <f t="shared" si="6"/>
        <v>1</v>
      </c>
      <c r="J23" s="122">
        <f t="shared" si="6"/>
        <v>154531.7745</v>
      </c>
      <c r="K23" s="98">
        <f t="shared" si="6"/>
        <v>-11</v>
      </c>
      <c r="L23" s="123" t="s">
        <v>86</v>
      </c>
      <c r="M23" s="124">
        <f>COUNTIF(M2:M22,"SIM")</f>
        <v>20</v>
      </c>
      <c r="N23" s="93">
        <f>SUM(N2:N22)</f>
        <v>0</v>
      </c>
      <c r="O23" s="50"/>
      <c r="P23" s="49" t="s">
        <v>87</v>
      </c>
      <c r="Q23" s="50">
        <f>SUM(Q2:Q22)</f>
        <v>0</v>
      </c>
      <c r="R23" s="50"/>
      <c r="S23" s="50">
        <f>SUM(S2:S22)</f>
        <v>0</v>
      </c>
      <c r="T23" s="50"/>
    </row>
    <row r="24">
      <c r="A24" s="86"/>
      <c r="B24" s="50"/>
      <c r="C24" s="50"/>
      <c r="D24" s="122">
        <f>L1+F24</f>
        <v>19209.44</v>
      </c>
      <c r="E24" s="122">
        <f>L1+F23</f>
        <v>159262.78</v>
      </c>
      <c r="F24" s="125">
        <f>SUMIFS(F2:F22,L2:L22,1)</f>
        <v>19209.44</v>
      </c>
      <c r="G24" s="50"/>
      <c r="H24" s="50"/>
      <c r="I24" s="126"/>
      <c r="J24" s="126"/>
      <c r="K24" s="98">
        <f>SUMIF(L2:L22,1,K2:K22)</f>
        <v>-12</v>
      </c>
      <c r="L24" s="49"/>
      <c r="M24" s="127"/>
      <c r="N24" s="93"/>
      <c r="O24" s="50"/>
      <c r="P24" s="50"/>
      <c r="Q24" s="50"/>
      <c r="R24" s="61"/>
      <c r="S24" s="61" t="str">
        <f>S23/Q23</f>
        <v>#DIV/0!</v>
      </c>
      <c r="T24" s="50"/>
    </row>
  </sheetData>
  <dataValidations>
    <dataValidation type="list" allowBlank="1" showErrorMessage="1" sqref="M2:M22">
      <formula1>"Sim,Não"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.75"/>
    <col customWidth="1" min="2" max="2" width="8.0"/>
    <col customWidth="1" min="3" max="3" width="6.13"/>
    <col customWidth="1" min="4" max="4" width="10.88"/>
    <col customWidth="1" min="5" max="5" width="12.0"/>
    <col customWidth="1" min="6" max="6" width="10.13"/>
    <col customWidth="1" min="7" max="7" width="8.5"/>
    <col customWidth="1" hidden="1" min="8" max="8" width="6.0"/>
    <col customWidth="1" hidden="1" min="9" max="9" width="8.13"/>
    <col customWidth="1" min="11" max="11" width="6.75"/>
    <col customWidth="1" min="12" max="12" width="11.38"/>
    <col customWidth="1" min="13" max="13" width="18.13"/>
    <col customWidth="1" min="14" max="14" width="9.63"/>
    <col hidden="1" min="15" max="15" width="12.63"/>
  </cols>
  <sheetData>
    <row r="1">
      <c r="A1" s="44"/>
      <c r="B1" s="45" t="s">
        <v>88</v>
      </c>
      <c r="C1" s="45" t="s">
        <v>24</v>
      </c>
      <c r="D1" s="45" t="s">
        <v>25</v>
      </c>
      <c r="E1" s="45" t="s">
        <v>26</v>
      </c>
      <c r="F1" s="45" t="s">
        <v>27</v>
      </c>
      <c r="G1" s="46" t="s">
        <v>29</v>
      </c>
      <c r="H1" s="47" t="s">
        <v>30</v>
      </c>
      <c r="I1" s="47" t="s">
        <v>30</v>
      </c>
      <c r="J1" s="46"/>
      <c r="K1" s="46" t="s">
        <v>31</v>
      </c>
      <c r="L1" s="48">
        <f>'Distruibuição de aporte'!H7</f>
        <v>4428.508155</v>
      </c>
      <c r="M1" s="46" t="s">
        <v>32</v>
      </c>
      <c r="N1" s="46" t="s">
        <v>24</v>
      </c>
      <c r="O1" s="49"/>
      <c r="P1" s="50"/>
    </row>
    <row r="2">
      <c r="A2" s="51">
        <v>1.0</v>
      </c>
      <c r="B2" s="52" t="s">
        <v>89</v>
      </c>
      <c r="C2" s="52">
        <v>54.0</v>
      </c>
      <c r="D2" s="71">
        <f>IFERROR(__xludf.DUMMYFUNCTION("GOOGLEFINANCE(""BVMF:VALE3"")"),77.13)</f>
        <v>77.13</v>
      </c>
      <c r="E2" s="54">
        <f t="shared" ref="E2:E92" si="1">C2*D2</f>
        <v>4165.02</v>
      </c>
      <c r="F2" s="55">
        <f>E2/E102</f>
        <v>0.1028902257</v>
      </c>
      <c r="G2" s="55">
        <f>IFS(J2="Grupo 0",0,J2="Grupo 1",K2*H105/100,J2="Grupo 2",K2*I105/100,J2="Grupo 3",K2*J105/100,J2="Grupo 4",K2*K105/100)</f>
        <v>0.03142857143</v>
      </c>
      <c r="H2" s="101">
        <f>IF(L2=1,I2/I102,0)</f>
        <v>0</v>
      </c>
      <c r="I2" s="102">
        <f>IF(L2=1,C102*G2-E2,0)</f>
        <v>0</v>
      </c>
      <c r="J2" s="58" t="s">
        <v>35</v>
      </c>
      <c r="K2" s="103">
        <f>IF(Balanceamentos!C37&gt;0,Balanceamentos!C37,0)</f>
        <v>11</v>
      </c>
      <c r="L2" s="128">
        <f>IF(G2&gt;E2/C102,1,0)</f>
        <v>0</v>
      </c>
      <c r="M2" s="60">
        <f>IF(L2=1,H2*L1,0)</f>
        <v>0</v>
      </c>
      <c r="N2" s="106">
        <f t="shared" ref="N2:N17" si="2">IF(M2&gt;0,M2/D2,0)</f>
        <v>0</v>
      </c>
      <c r="O2" s="61"/>
      <c r="P2" s="50"/>
    </row>
    <row r="3">
      <c r="A3" s="62">
        <v>2.0</v>
      </c>
      <c r="B3" s="63" t="s">
        <v>90</v>
      </c>
      <c r="C3" s="63">
        <v>73.0</v>
      </c>
      <c r="D3" s="75">
        <f>IFERROR(__xludf.DUMMYFUNCTION("GOOGLEFINANCE(""BVMF:BBAS3"")"),23.41)</f>
        <v>23.41</v>
      </c>
      <c r="E3" s="27">
        <f t="shared" si="1"/>
        <v>1708.93</v>
      </c>
      <c r="F3" s="24">
        <f>E3/E102</f>
        <v>0.04221641033</v>
      </c>
      <c r="G3" s="24">
        <f>IFS(J3="Grupo 0",0,J3="Grupo 1",K3*H105/100,J3="Grupo 2",K3*I105/100,J3="Grupo 3",K3*J105/100,J3="Grupo 4",K3*K105/100)</f>
        <v>0.03142857143</v>
      </c>
      <c r="H3" s="129">
        <f>IF(L3=1,I3/I102,0)</f>
        <v>0</v>
      </c>
      <c r="I3" s="130">
        <f>IF(L3=1,C102*G3-E3,0)</f>
        <v>0</v>
      </c>
      <c r="J3" s="69" t="s">
        <v>35</v>
      </c>
      <c r="K3" s="131">
        <f>IF(Balanceamentos!D37&gt;0,Balanceamentos!D37,0)</f>
        <v>11</v>
      </c>
      <c r="L3" s="132">
        <f>IF(G3&gt;E3/C102,1,0)</f>
        <v>0</v>
      </c>
      <c r="M3" s="26">
        <f>IF(L3=1,H3*L1,0)</f>
        <v>0</v>
      </c>
      <c r="N3" s="133">
        <f t="shared" si="2"/>
        <v>0</v>
      </c>
      <c r="O3" s="61"/>
      <c r="P3" s="50"/>
    </row>
    <row r="4">
      <c r="A4" s="51">
        <v>3.0</v>
      </c>
      <c r="B4" s="76" t="s">
        <v>91</v>
      </c>
      <c r="C4" s="52">
        <v>37.0</v>
      </c>
      <c r="D4" s="71">
        <f>IFERROR(__xludf.DUMMYFUNCTION("GOOGLEFINANCE(B4)"),47.0)</f>
        <v>47</v>
      </c>
      <c r="E4" s="54">
        <f t="shared" si="1"/>
        <v>1739</v>
      </c>
      <c r="F4" s="55">
        <f>E4/E102</f>
        <v>0.04295924208</v>
      </c>
      <c r="G4" s="55">
        <f>IFS(J4="Grupo 0",0,J4="Grupo 1",K4*H105/100,J4="Grupo 2",K4*I105/100,J4="Grupo 3",K4*J105/100,J4="Grupo 4",K4*K105/100)</f>
        <v>0.02571428571</v>
      </c>
      <c r="H4" s="101">
        <f>IF(L4=1,I4/I102,0)</f>
        <v>0</v>
      </c>
      <c r="I4" s="102">
        <f>IF(L4=1,C102*G4-E4,0)</f>
        <v>0</v>
      </c>
      <c r="J4" s="58" t="s">
        <v>35</v>
      </c>
      <c r="K4" s="103">
        <f>IF(Balanceamentos!E37&gt;0,Balanceamentos!E37,0)</f>
        <v>9</v>
      </c>
      <c r="L4" s="128">
        <f>IF(G4&gt;E4/C102,1,0)</f>
        <v>0</v>
      </c>
      <c r="M4" s="60">
        <f>IF(L4=1,H4*L1,0)</f>
        <v>0</v>
      </c>
      <c r="N4" s="106">
        <f t="shared" si="2"/>
        <v>0</v>
      </c>
      <c r="O4" s="61"/>
      <c r="P4" s="50"/>
    </row>
    <row r="5">
      <c r="A5" s="73">
        <v>4.0</v>
      </c>
      <c r="B5" s="63" t="s">
        <v>92</v>
      </c>
      <c r="C5" s="63">
        <v>11.0</v>
      </c>
      <c r="D5" s="75">
        <f>IFERROR(__xludf.DUMMYFUNCTION("GOOGLEFINANCE(B5)"),54.2)</f>
        <v>54.2</v>
      </c>
      <c r="E5" s="27">
        <f t="shared" si="1"/>
        <v>596.2</v>
      </c>
      <c r="F5" s="24">
        <f>E5/E102</f>
        <v>0.01472817719</v>
      </c>
      <c r="G5" s="24">
        <f>IFS(J5="Grupo 0",0,J5="Grupo 1",K5*H105/100,J5="Grupo 2",K5*I105/100,J5="Grupo 3",K5*J105/100,J5="Grupo 4",K5*K105/100)</f>
        <v>0.006</v>
      </c>
      <c r="H5" s="129">
        <f>IF(L5=1,I5/I102,0)</f>
        <v>0</v>
      </c>
      <c r="I5" s="130">
        <f>IF(L5=1,C102*G5-E5,0)</f>
        <v>0</v>
      </c>
      <c r="J5" s="69" t="s">
        <v>38</v>
      </c>
      <c r="K5" s="131">
        <f>IF(Balanceamentos!F37&gt;0,Balanceamentos!F37,0)</f>
        <v>5</v>
      </c>
      <c r="L5" s="132">
        <f>IF(G5&gt;E5/C102,1,0)</f>
        <v>0</v>
      </c>
      <c r="M5" s="26">
        <f>IF(L5=1,H5*L1,0)</f>
        <v>0</v>
      </c>
      <c r="N5" s="133">
        <f t="shared" si="2"/>
        <v>0</v>
      </c>
      <c r="O5" s="61"/>
      <c r="P5" s="50"/>
    </row>
    <row r="6">
      <c r="A6" s="51">
        <v>5.0</v>
      </c>
      <c r="B6" s="52" t="s">
        <v>93</v>
      </c>
      <c r="C6" s="52">
        <v>21.0</v>
      </c>
      <c r="D6" s="71">
        <f>IFERROR(__xludf.DUMMYFUNCTION("GOOGLEFINANCE(B6)"),11.81)</f>
        <v>11.81</v>
      </c>
      <c r="E6" s="54">
        <f t="shared" si="1"/>
        <v>248.01</v>
      </c>
      <c r="F6" s="55">
        <f>E6/E102</f>
        <v>0.006126694438</v>
      </c>
      <c r="G6" s="55">
        <f>IFS(J6="Grupo 0",0,J6="Grupo 1",K6*H105/100,J6="Grupo 2",K6*I105/100,J6="Grupo 3",K6*J105/100,J6="Grupo 4",K6*K105/100)</f>
        <v>0</v>
      </c>
      <c r="H6" s="101">
        <f>IF(L6=1,I6/I102,0)</f>
        <v>0</v>
      </c>
      <c r="I6" s="102">
        <f>IF(L6=1,C102*G6-E6,0)</f>
        <v>0</v>
      </c>
      <c r="J6" s="58" t="s">
        <v>36</v>
      </c>
      <c r="K6" s="103">
        <v>0.0</v>
      </c>
      <c r="L6" s="128">
        <f>IF(G6&gt;E6/C102,1,0)</f>
        <v>0</v>
      </c>
      <c r="M6" s="60">
        <f>IF(L6=1,H6*L1,0)</f>
        <v>0</v>
      </c>
      <c r="N6" s="106">
        <f t="shared" si="2"/>
        <v>0</v>
      </c>
      <c r="O6" s="61"/>
      <c r="P6" s="50"/>
    </row>
    <row r="7">
      <c r="A7" s="73">
        <v>6.0</v>
      </c>
      <c r="B7" s="63" t="s">
        <v>94</v>
      </c>
      <c r="C7" s="63">
        <v>7.0</v>
      </c>
      <c r="D7" s="75">
        <f>IFERROR(__xludf.DUMMYFUNCTION("GOOGLEFINANCE(B7)"),13.37)</f>
        <v>13.37</v>
      </c>
      <c r="E7" s="27">
        <f t="shared" si="1"/>
        <v>93.59</v>
      </c>
      <c r="F7" s="24">
        <f>E7/E102</f>
        <v>0.002311992793</v>
      </c>
      <c r="G7" s="24">
        <f>IFS(J7="Grupo 0",0,J7="Grupo 1",K7*H105/100,J7="Grupo 2",K7*I105/100,J7="Grupo 3",K7*J105/100,J7="Grupo 4",K7*K105/100)</f>
        <v>0</v>
      </c>
      <c r="H7" s="129">
        <f>IF(L7=1,I7/I102,0)</f>
        <v>0</v>
      </c>
      <c r="I7" s="130">
        <f>IF(L7=1,C102*G7-E7,0)</f>
        <v>0</v>
      </c>
      <c r="J7" s="69" t="s">
        <v>36</v>
      </c>
      <c r="K7" s="131">
        <v>0.0</v>
      </c>
      <c r="L7" s="132">
        <f>IF(G7&gt;E7/C102,1,0)</f>
        <v>0</v>
      </c>
      <c r="M7" s="26">
        <f>IF(L7=1,H7*L1,0)</f>
        <v>0</v>
      </c>
      <c r="N7" s="133">
        <f t="shared" si="2"/>
        <v>0</v>
      </c>
      <c r="O7" s="61"/>
      <c r="P7" s="50"/>
    </row>
    <row r="8">
      <c r="A8" s="51">
        <v>7.0</v>
      </c>
      <c r="B8" s="52" t="s">
        <v>95</v>
      </c>
      <c r="C8" s="52">
        <v>14.0</v>
      </c>
      <c r="D8" s="71">
        <f>IFERROR(__xludf.DUMMYFUNCTION("GOOGLEFINANCE(B8)"),32.61)</f>
        <v>32.61</v>
      </c>
      <c r="E8" s="54">
        <f t="shared" si="1"/>
        <v>456.54</v>
      </c>
      <c r="F8" s="55">
        <f>E8/E102</f>
        <v>0.01127809798</v>
      </c>
      <c r="G8" s="55">
        <f>IFS(J8="Grupo 0",0,J8="Grupo 1",K8*H105/100,J8="Grupo 2",K8*I105/100,J8="Grupo 3",K8*J105/100,J8="Grupo 4",K8*K105/100)</f>
        <v>0.01216216216</v>
      </c>
      <c r="H8" s="101">
        <f>IF(L8=1,I8/I102,0)</f>
        <v>0.009797373554</v>
      </c>
      <c r="I8" s="102">
        <f>IF(L8=1,C102*G8-E8,0)</f>
        <v>89.64735594</v>
      </c>
      <c r="J8" s="58" t="s">
        <v>41</v>
      </c>
      <c r="K8" s="103">
        <f>IF(Balanceamentos!G37&gt;0,Balanceamentos!G37,0)</f>
        <v>9</v>
      </c>
      <c r="L8" s="128">
        <f>IF(G8&gt;E8/C102,1,0)</f>
        <v>1</v>
      </c>
      <c r="M8" s="60">
        <f>IF(L8=1,H8*L1,0)</f>
        <v>43.38774868</v>
      </c>
      <c r="N8" s="106">
        <f t="shared" si="2"/>
        <v>1.330504406</v>
      </c>
      <c r="O8" s="61"/>
      <c r="P8" s="50"/>
    </row>
    <row r="9">
      <c r="A9" s="73">
        <v>8.0</v>
      </c>
      <c r="B9" s="63" t="s">
        <v>96</v>
      </c>
      <c r="C9" s="63">
        <v>1.0</v>
      </c>
      <c r="D9" s="75">
        <f>IFERROR(__xludf.DUMMYFUNCTION("GOOGLEFINANCE(B9)"),63.15)</f>
        <v>63.15</v>
      </c>
      <c r="E9" s="27">
        <f t="shared" si="1"/>
        <v>63.15</v>
      </c>
      <c r="F9" s="24">
        <f>E9/E102</f>
        <v>0.001560020781</v>
      </c>
      <c r="G9" s="24">
        <f>IFS(J9="Grupo 0",0,J9="Grupo 1",K9*H105/100,J9="Grupo 2",K9*I105/100,J9="Grupo 3",K9*J105/100,J9="Grupo 4",K9*K105/100)</f>
        <v>0</v>
      </c>
      <c r="H9" s="129">
        <f>IF(L9=1,I9/I102,0)</f>
        <v>0</v>
      </c>
      <c r="I9" s="130">
        <f>IF(L9=1,C102*G9-E9,0)</f>
        <v>0</v>
      </c>
      <c r="J9" s="69" t="s">
        <v>36</v>
      </c>
      <c r="K9" s="131">
        <v>0.0</v>
      </c>
      <c r="L9" s="132">
        <f>IF(G9&gt;E9/C102,1,0)</f>
        <v>0</v>
      </c>
      <c r="M9" s="26">
        <f>IF(L9=1,H9*L1,0)</f>
        <v>0</v>
      </c>
      <c r="N9" s="133">
        <f t="shared" si="2"/>
        <v>0</v>
      </c>
      <c r="O9" s="61"/>
      <c r="P9" s="50"/>
    </row>
    <row r="10">
      <c r="A10" s="51">
        <v>9.0</v>
      </c>
      <c r="B10" s="52" t="s">
        <v>97</v>
      </c>
      <c r="C10" s="52">
        <v>31.0</v>
      </c>
      <c r="D10" s="71">
        <f>IFERROR(__xludf.DUMMYFUNCTION("GOOGLEFINANCE(B10)"),34.52)</f>
        <v>34.52</v>
      </c>
      <c r="E10" s="54">
        <f t="shared" si="1"/>
        <v>1070.12</v>
      </c>
      <c r="F10" s="55">
        <f>E10/E102</f>
        <v>0.02643562055</v>
      </c>
      <c r="G10" s="55">
        <f>IFS(J10="Grupo 0",0,J10="Grupo 1",K10*H105/100,J10="Grupo 2",K10*I105/100,J10="Grupo 3",K10*J105/100,J10="Grupo 4",K10*K105/100)</f>
        <v>0.03142857143</v>
      </c>
      <c r="H10" s="101">
        <f>IF(L10=1,I10/I102,0)</f>
        <v>0.03729969409</v>
      </c>
      <c r="I10" s="102">
        <f>IF(L10=1,C102*G10-E10,0)</f>
        <v>341.2974849</v>
      </c>
      <c r="J10" s="58" t="s">
        <v>35</v>
      </c>
      <c r="K10" s="103">
        <f>IF(Balanceamentos!H37&gt;0,Balanceamentos!H37,0)</f>
        <v>11</v>
      </c>
      <c r="L10" s="128">
        <f>IF(G10&gt;E10/C102,1,0)</f>
        <v>1</v>
      </c>
      <c r="M10" s="60">
        <f>IF(L10=1,H10*L1,0)</f>
        <v>165.1819994</v>
      </c>
      <c r="N10" s="106">
        <f t="shared" si="2"/>
        <v>4.785110065</v>
      </c>
      <c r="O10" s="61"/>
      <c r="P10" s="50"/>
    </row>
    <row r="11">
      <c r="A11" s="73">
        <v>10.0</v>
      </c>
      <c r="B11" s="63" t="s">
        <v>98</v>
      </c>
      <c r="C11" s="63">
        <v>1.0</v>
      </c>
      <c r="D11" s="75">
        <f>IFERROR(__xludf.DUMMYFUNCTION("GOOGLEFINANCE(B11)"),41.85)</f>
        <v>41.85</v>
      </c>
      <c r="E11" s="27">
        <f t="shared" si="1"/>
        <v>41.85</v>
      </c>
      <c r="F11" s="24">
        <f>E11/E102</f>
        <v>0.001033837999</v>
      </c>
      <c r="G11" s="24">
        <f>IFS(J11="Grupo 0",0,J11="Grupo 1",K11*H105/100,J11="Grupo 2",K11*I105/100,J11="Grupo 3",K11*J105/100,J11="Grupo 4",K11*K105/100)</f>
        <v>0</v>
      </c>
      <c r="H11" s="129">
        <f>IF(L11=1,I11/I102,0)</f>
        <v>0</v>
      </c>
      <c r="I11" s="130">
        <f>IF(L11=1,C102*G11-E11,0)</f>
        <v>0</v>
      </c>
      <c r="J11" s="69" t="s">
        <v>36</v>
      </c>
      <c r="K11" s="131">
        <v>0.0</v>
      </c>
      <c r="L11" s="132">
        <f>IF(G11&gt;E11/C102,1,0)</f>
        <v>0</v>
      </c>
      <c r="M11" s="26">
        <f>IF(L11=1,H11*L1,0)</f>
        <v>0</v>
      </c>
      <c r="N11" s="133">
        <f t="shared" si="2"/>
        <v>0</v>
      </c>
      <c r="O11" s="61"/>
      <c r="P11" s="50"/>
    </row>
    <row r="12" ht="15.0" customHeight="1">
      <c r="A12" s="51">
        <v>11.0</v>
      </c>
      <c r="B12" s="52" t="s">
        <v>99</v>
      </c>
      <c r="C12" s="52">
        <v>15.0</v>
      </c>
      <c r="D12" s="71">
        <f>IFERROR(__xludf.DUMMYFUNCTION("GOOGLEFINANCE(B12)"),25.82)</f>
        <v>25.82</v>
      </c>
      <c r="E12" s="54">
        <f t="shared" si="1"/>
        <v>387.3</v>
      </c>
      <c r="F12" s="55">
        <f>E12/E102</f>
        <v>0.009567633385</v>
      </c>
      <c r="G12" s="55">
        <f>IFS(J12="Grupo 0",0,J12="Grupo 1",K12*H105/100,J12="Grupo 2",K12*I105/100,J12="Grupo 3",K12*J105/100,J12="Grupo 4",K12*K105/100)</f>
        <v>0.009459459459</v>
      </c>
      <c r="H12" s="101">
        <f>IF(L12=1,I12/I102,0)</f>
        <v>0.004099651059</v>
      </c>
      <c r="I12" s="102">
        <f>IF(L12=1,C102*G12-E12,0)</f>
        <v>37.51238795</v>
      </c>
      <c r="J12" s="58" t="s">
        <v>41</v>
      </c>
      <c r="K12" s="103">
        <f>IF(Balanceamentos!I37&gt;0,Balanceamentos!I37,0)</f>
        <v>7</v>
      </c>
      <c r="L12" s="128">
        <f>IF(G12&gt;E12/C102,1,0)</f>
        <v>1</v>
      </c>
      <c r="M12" s="60">
        <f>IF(L12=1,H12*L1,0)</f>
        <v>18.15533815</v>
      </c>
      <c r="N12" s="106">
        <f t="shared" si="2"/>
        <v>0.7031501993</v>
      </c>
      <c r="O12" s="61"/>
      <c r="P12" s="50"/>
    </row>
    <row r="13">
      <c r="A13" s="73">
        <v>12.0</v>
      </c>
      <c r="B13" s="63" t="s">
        <v>100</v>
      </c>
      <c r="C13" s="63">
        <v>20.0</v>
      </c>
      <c r="D13" s="75">
        <f>IFERROR(__xludf.DUMMYFUNCTION("GOOGLEFINANCE(B13)"),18.05)</f>
        <v>18.05</v>
      </c>
      <c r="E13" s="27">
        <f t="shared" si="1"/>
        <v>361</v>
      </c>
      <c r="F13" s="24">
        <f>E13/E102</f>
        <v>0.00891793352</v>
      </c>
      <c r="G13" s="24">
        <f>IFS(J13="Grupo 0",0,J13="Grupo 1",K13*H105/100,J13="Grupo 2",K13*I105/100,J13="Grupo 3",K13*J105/100,J13="Grupo 4",K13*K105/100)</f>
        <v>0.0084</v>
      </c>
      <c r="H13" s="129">
        <f>IF(L13=1,I13/I102,0)</f>
        <v>0.001774114664</v>
      </c>
      <c r="I13" s="130">
        <f>IF(L13=1,C102*G13-E13,0)</f>
        <v>16.2334005</v>
      </c>
      <c r="J13" s="69" t="s">
        <v>38</v>
      </c>
      <c r="K13" s="131">
        <f>IF(Balanceamentos!J37&gt;0,Balanceamentos!J37,0)</f>
        <v>7</v>
      </c>
      <c r="L13" s="132">
        <f>IF(G13&gt;E13/C102,1,0)</f>
        <v>1</v>
      </c>
      <c r="M13" s="26">
        <f>IF(L13=1,H13*L1,0)</f>
        <v>7.856681258</v>
      </c>
      <c r="N13" s="133">
        <f t="shared" si="2"/>
        <v>0.4352731999</v>
      </c>
      <c r="O13" s="61"/>
      <c r="P13" s="50"/>
    </row>
    <row r="14">
      <c r="A14" s="51">
        <v>13.0</v>
      </c>
      <c r="B14" s="52" t="s">
        <v>101</v>
      </c>
      <c r="C14" s="52">
        <v>2.0</v>
      </c>
      <c r="D14" s="71">
        <f>IFERROR(__xludf.DUMMYFUNCTION("GOOGLEFINANCE(B14)"),7.99)</f>
        <v>7.99</v>
      </c>
      <c r="E14" s="54">
        <f t="shared" si="1"/>
        <v>15.98</v>
      </c>
      <c r="F14" s="55">
        <f>E14/E102</f>
        <v>0.0003947606029</v>
      </c>
      <c r="G14" s="55">
        <f>IFS(J14="Grupo 0",0,J14="Grupo 1",K14*H105/100,J14="Grupo 2",K14*I105/100,J14="Grupo 3",K14*J105/100,J14="Grupo 4",K14*K105/100)</f>
        <v>0</v>
      </c>
      <c r="H14" s="101">
        <f>IF(L14=1,I14/I102,0)</f>
        <v>0</v>
      </c>
      <c r="I14" s="102">
        <f>IF(L14=1,C102*G14-E14,0)</f>
        <v>0</v>
      </c>
      <c r="J14" s="58" t="s">
        <v>36</v>
      </c>
      <c r="K14" s="103">
        <v>0.0</v>
      </c>
      <c r="L14" s="128">
        <f>IF(G14&gt;E14/C102,1,0)</f>
        <v>0</v>
      </c>
      <c r="M14" s="60">
        <f>IF(L14=1,H14*L1,0)</f>
        <v>0</v>
      </c>
      <c r="N14" s="106">
        <f t="shared" si="2"/>
        <v>0</v>
      </c>
      <c r="O14" s="61"/>
      <c r="P14" s="50"/>
    </row>
    <row r="15">
      <c r="A15" s="73">
        <v>14.0</v>
      </c>
      <c r="B15" s="63" t="s">
        <v>102</v>
      </c>
      <c r="C15" s="63">
        <v>3.0</v>
      </c>
      <c r="D15" s="75">
        <f>IFERROR(__xludf.DUMMYFUNCTION("GOOGLEFINANCE(B15)"),3.8)</f>
        <v>3.8</v>
      </c>
      <c r="E15" s="27">
        <f t="shared" si="1"/>
        <v>11.4</v>
      </c>
      <c r="F15" s="24">
        <f>E15/E102</f>
        <v>0.0002816189533</v>
      </c>
      <c r="G15" s="24">
        <f>IFS(J15="Grupo 0",0,J15="Grupo 1",K15*H105/100,J15="Grupo 2",K15*I105/100,J15="Grupo 3",K15*J105/100,J15="Grupo 4",K15*K105/100)</f>
        <v>0</v>
      </c>
      <c r="H15" s="129">
        <f>IF(L15=1,I15/I102,0)</f>
        <v>0</v>
      </c>
      <c r="I15" s="130">
        <f>IF(L15=1,C102*G15-E15,0)</f>
        <v>0</v>
      </c>
      <c r="J15" s="69" t="s">
        <v>36</v>
      </c>
      <c r="K15" s="131">
        <v>0.0</v>
      </c>
      <c r="L15" s="132">
        <f>IF(G15&gt;E15/C102,1,0)</f>
        <v>0</v>
      </c>
      <c r="M15" s="26">
        <f>IF(L15=1,H15*L1,0)</f>
        <v>0</v>
      </c>
      <c r="N15" s="133">
        <f t="shared" si="2"/>
        <v>0</v>
      </c>
      <c r="O15" s="61"/>
      <c r="P15" s="50"/>
    </row>
    <row r="16">
      <c r="A16" s="51">
        <v>15.0</v>
      </c>
      <c r="B16" s="52" t="s">
        <v>103</v>
      </c>
      <c r="C16" s="52">
        <v>20.0</v>
      </c>
      <c r="D16" s="71">
        <f>IFERROR(__xludf.DUMMYFUNCTION("GOOGLEFINANCE(""BVMF:GOAU3"")"),7.89)</f>
        <v>7.89</v>
      </c>
      <c r="E16" s="54">
        <f t="shared" si="1"/>
        <v>157.8</v>
      </c>
      <c r="F16" s="55">
        <f>E16/E102</f>
        <v>0.003898199195</v>
      </c>
      <c r="G16" s="55">
        <f>IFS(J16="Grupo 0",0,J16="Grupo 1",K16*H105/100,J16="Grupo 2",K16*I105/100,J16="Grupo 3",K16*J105/100,J16="Grupo 4",K16*K105/100)</f>
        <v>0.006</v>
      </c>
      <c r="H16" s="101">
        <f>IF(L16=1,I16/I102,0)</f>
        <v>0.01220226233</v>
      </c>
      <c r="I16" s="102">
        <f>IF(L16=1,C102*G16-E16,0)</f>
        <v>111.6524289</v>
      </c>
      <c r="J16" s="58" t="s">
        <v>38</v>
      </c>
      <c r="K16" s="103">
        <f>IF(Balanceamentos!K37&gt;0,Balanceamentos!K37,0)</f>
        <v>5</v>
      </c>
      <c r="L16" s="128">
        <f>IF(G16&gt;E16/C102,1,0)</f>
        <v>1</v>
      </c>
      <c r="M16" s="60">
        <f>IF(L16=1,H16*L1,0)</f>
        <v>54.03781824</v>
      </c>
      <c r="N16" s="106">
        <f t="shared" si="2"/>
        <v>6.84889965</v>
      </c>
      <c r="O16" s="61"/>
      <c r="P16" s="50"/>
    </row>
    <row r="17">
      <c r="A17" s="73">
        <v>16.0</v>
      </c>
      <c r="B17" s="63" t="s">
        <v>104</v>
      </c>
      <c r="C17" s="63">
        <v>58.0</v>
      </c>
      <c r="D17" s="75">
        <f>IFERROR(__xludf.DUMMYFUNCTION("GOOGLEFINANCE(B17)"),15.6)</f>
        <v>15.6</v>
      </c>
      <c r="E17" s="27">
        <f t="shared" si="1"/>
        <v>904.8</v>
      </c>
      <c r="F17" s="24">
        <f>E17/E102</f>
        <v>0.02235165166</v>
      </c>
      <c r="G17" s="24">
        <f>IFS(J17="Grupo 0",0,J17="Grupo 1",K17*H105/100,J16="Grupo 2",K17*I105/100,J17="Grupo 3",K17*J105/100,J17="Grupo 4",K17*K105/100)</f>
        <v>0.02571428571</v>
      </c>
      <c r="H17" s="129">
        <f>IF(L17=1,I17/I102,0)</f>
        <v>0.02732155776</v>
      </c>
      <c r="I17" s="130">
        <f>IF(L17=1,C102*G17-E17,0)</f>
        <v>249.996124</v>
      </c>
      <c r="J17" s="69" t="s">
        <v>35</v>
      </c>
      <c r="K17" s="131">
        <f>IF(Balanceamentos!L37&gt;0,Balanceamentos!L37,0)</f>
        <v>9</v>
      </c>
      <c r="L17" s="132">
        <f>IF(G17&gt;E17/C102,1,0)</f>
        <v>1</v>
      </c>
      <c r="M17" s="26">
        <f>IF(L17=1,H17*L1,0)</f>
        <v>120.9937414</v>
      </c>
      <c r="N17" s="133">
        <f t="shared" si="2"/>
        <v>7.756009062</v>
      </c>
      <c r="O17" s="61"/>
      <c r="P17" s="50"/>
    </row>
    <row r="18">
      <c r="A18" s="51">
        <v>17.0</v>
      </c>
      <c r="B18" s="52" t="s">
        <v>105</v>
      </c>
      <c r="C18" s="52">
        <v>6.0</v>
      </c>
      <c r="D18" s="71">
        <f>IFERROR(__xludf.DUMMYFUNCTION("GOOGLEFINANCE(""BVMF:PRIO3"")"),66.03)</f>
        <v>66.03</v>
      </c>
      <c r="E18" s="54">
        <f t="shared" si="1"/>
        <v>396.18</v>
      </c>
      <c r="F18" s="55">
        <f>E18/E102</f>
        <v>0.009786999728</v>
      </c>
      <c r="G18" s="55">
        <f>IFS(J18="Grupo 0",0,J18="Grupo 1",K18*H105/100,J18="Grupo 2",K18*I105/100,J18="Grupo 3",K18*J105/100,J18="Grupo 4",K18*K105/100)</f>
        <v>0.006756756757</v>
      </c>
      <c r="H18" s="101">
        <f>IF(L18=1,I18/I102,0)</f>
        <v>0</v>
      </c>
      <c r="I18" s="102">
        <f>IF(L18=1,C102*G18-E18,0)</f>
        <v>0</v>
      </c>
      <c r="J18" s="58" t="s">
        <v>41</v>
      </c>
      <c r="K18" s="103">
        <f>IF(Balanceamentos!M37&gt;0,Balanceamentos!M37,0)</f>
        <v>5</v>
      </c>
      <c r="L18" s="128">
        <f>IF(G18&gt;E18/C102,1,0)</f>
        <v>0</v>
      </c>
      <c r="M18" s="60">
        <f>IF(L18=1,H18*L1,0)</f>
        <v>0</v>
      </c>
      <c r="N18" s="106">
        <f>IF(M18&gt;0,M18/D18,0)</f>
        <v>0</v>
      </c>
      <c r="O18" s="61"/>
      <c r="P18" s="50"/>
    </row>
    <row r="19" ht="15.0" customHeight="1">
      <c r="A19" s="73">
        <v>18.0</v>
      </c>
      <c r="B19" s="63" t="s">
        <v>106</v>
      </c>
      <c r="C19" s="63">
        <v>17.0</v>
      </c>
      <c r="D19" s="75">
        <f>IFERROR(__xludf.DUMMYFUNCTION("GOOGLEFINANCE(B19)"),29.8)</f>
        <v>29.8</v>
      </c>
      <c r="E19" s="27">
        <f t="shared" si="1"/>
        <v>506.6</v>
      </c>
      <c r="F19" s="24">
        <f>E19/E102</f>
        <v>0.01251475103</v>
      </c>
      <c r="G19" s="24">
        <f>IFS(J19="Grupo 0",0,J19="Grupo 1",K19*H105/100,J19="Grupo 2",K19*I105/100,J19="Grupo 3",K19*J105/100,J19="Grupo 4",K19*K105/100)</f>
        <v>0.0108</v>
      </c>
      <c r="H19" s="129">
        <f>IF(L19=1,I19/I102,0)</f>
        <v>0</v>
      </c>
      <c r="I19" s="130">
        <f>IF(L19=1,C102*G19-E19,0)</f>
        <v>0</v>
      </c>
      <c r="J19" s="69" t="s">
        <v>38</v>
      </c>
      <c r="K19" s="131">
        <f>IF(Balanceamentos!N37&gt;0,Balanceamentos!N37,0)</f>
        <v>9</v>
      </c>
      <c r="L19" s="132">
        <f>IF(G19&gt;E19/C102,1,0)</f>
        <v>0</v>
      </c>
      <c r="M19" s="26">
        <f>IF(L19=1,H19*L1,0)</f>
        <v>0</v>
      </c>
      <c r="N19" s="133">
        <f t="shared" ref="N19:N101" si="3">IF(M19&gt;0,M19/D19,0)</f>
        <v>0</v>
      </c>
      <c r="O19" s="61"/>
      <c r="P19" s="50"/>
    </row>
    <row r="20">
      <c r="A20" s="51">
        <v>19.0</v>
      </c>
      <c r="B20" s="52" t="s">
        <v>107</v>
      </c>
      <c r="C20" s="52">
        <v>123.0</v>
      </c>
      <c r="D20" s="71">
        <f>IFERROR(__xludf.DUMMYFUNCTION("GOOGLEFINANCE(B20)"),3.83)</f>
        <v>3.83</v>
      </c>
      <c r="E20" s="54">
        <f t="shared" si="1"/>
        <v>471.09</v>
      </c>
      <c r="F20" s="55">
        <f>E20/E102</f>
        <v>0.01163753269</v>
      </c>
      <c r="G20" s="55">
        <f>IFS(J20="Grupo 0",0,J20="Grupo 1",K20*H105/100,J20="Grupo 2",K20*I105/100,J20="Grupo 3",K20*J105/100,J20="Grupo 4",K20*K105/100)</f>
        <v>0.0132</v>
      </c>
      <c r="H20" s="101">
        <f>IF(L20=1,I20/I102,0)</f>
        <v>0.01330092452</v>
      </c>
      <c r="I20" s="102">
        <f>IF(L20=1,C102*G20-E20,0)</f>
        <v>121.7053436</v>
      </c>
      <c r="J20" s="58" t="s">
        <v>38</v>
      </c>
      <c r="K20" s="103">
        <f>IF(Balanceamentos!O37&gt;0,Balanceamentos!O37,0)</f>
        <v>11</v>
      </c>
      <c r="L20" s="128">
        <f>IF(G20&gt;E20/C102,1,0)</f>
        <v>1</v>
      </c>
      <c r="M20" s="60">
        <f>IF(L20=1,H20*L1,0)</f>
        <v>58.90325273</v>
      </c>
      <c r="N20" s="106">
        <f t="shared" si="3"/>
        <v>15.37943935</v>
      </c>
      <c r="O20" s="61"/>
      <c r="P20" s="50"/>
    </row>
    <row r="21">
      <c r="A21" s="73">
        <v>20.0</v>
      </c>
      <c r="B21" s="63" t="s">
        <v>108</v>
      </c>
      <c r="C21" s="63">
        <v>38.0</v>
      </c>
      <c r="D21" s="75">
        <f>IFERROR(__xludf.DUMMYFUNCTION("GOOGLEFINANCE(B21)"),9.23)</f>
        <v>9.23</v>
      </c>
      <c r="E21" s="27">
        <f t="shared" si="1"/>
        <v>350.74</v>
      </c>
      <c r="F21" s="24">
        <f>E21/E102</f>
        <v>0.008664476462</v>
      </c>
      <c r="G21" s="24">
        <f>IFS(J21="Grupo 0",0,J21="Grupo 1",K21*H105/100,J21="Grupo 2",K21*I105/100,J21="Grupo 3",K21*J105/100,J21="Grupo 4",K21*K105/100)</f>
        <v>0.009459459459</v>
      </c>
      <c r="H21" s="129">
        <f>IF(L21=1,I21/I102,0)</f>
        <v>0.008095217613</v>
      </c>
      <c r="I21" s="130">
        <f>IF(L21=1,C102*G21-E21,0)</f>
        <v>74.07238795</v>
      </c>
      <c r="J21" s="69" t="s">
        <v>41</v>
      </c>
      <c r="K21" s="131">
        <f>IF(Balanceamentos!P37&gt;0,Balanceamentos!P37,0)</f>
        <v>7</v>
      </c>
      <c r="L21" s="132">
        <f>IF(G21&gt;E21/C102,1,0)</f>
        <v>1</v>
      </c>
      <c r="M21" s="26">
        <f>IF(L21=1,H21*L1,0)</f>
        <v>35.84973722</v>
      </c>
      <c r="N21" s="133">
        <f t="shared" si="3"/>
        <v>3.884045202</v>
      </c>
      <c r="O21" s="61"/>
      <c r="P21" s="50"/>
    </row>
    <row r="22">
      <c r="A22" s="51">
        <v>21.0</v>
      </c>
      <c r="B22" s="52" t="s">
        <v>109</v>
      </c>
      <c r="C22" s="52">
        <v>13.0</v>
      </c>
      <c r="D22" s="71">
        <f>IFERROR(__xludf.DUMMYFUNCTION("GOOGLEFINANCE(B22)"),7.04)</f>
        <v>7.04</v>
      </c>
      <c r="E22" s="54">
        <f t="shared" si="1"/>
        <v>91.52</v>
      </c>
      <c r="F22" s="55">
        <f>E22/E102</f>
        <v>0.002260856719</v>
      </c>
      <c r="G22" s="55">
        <f>IFS(J22="Grupo 0",0,J22="Grupo 1",K22*H105/100,J22="Grupo 2",K22*I105/100,J22="Grupo 3",K22*J105/100,J22="Grupo 4",K22*K105/100)</f>
        <v>0.003205128205</v>
      </c>
      <c r="H22" s="101">
        <f>IF(L22=1,I22/I102,0)</f>
        <v>0.005728683254</v>
      </c>
      <c r="I22" s="102">
        <f>IF(L22=1,C102*G22-E22,0)</f>
        <v>52.41826332</v>
      </c>
      <c r="J22" s="84" t="s">
        <v>110</v>
      </c>
      <c r="K22" s="134">
        <f>IF(Balanceamentos!Q37&gt;0,Balanceamentos!Q37,0)</f>
        <v>5</v>
      </c>
      <c r="L22" s="128">
        <f>IF(G22&gt;E22/C102,1,0)</f>
        <v>1</v>
      </c>
      <c r="M22" s="60">
        <f>IF(L22=1,H22*L1,0)</f>
        <v>25.36952051</v>
      </c>
      <c r="N22" s="106">
        <f t="shared" si="3"/>
        <v>3.603625072</v>
      </c>
      <c r="O22" s="61"/>
      <c r="P22" s="50"/>
    </row>
    <row r="23">
      <c r="A23" s="73">
        <v>22.0</v>
      </c>
      <c r="B23" s="63" t="s">
        <v>111</v>
      </c>
      <c r="C23" s="63">
        <v>24.0</v>
      </c>
      <c r="D23" s="75">
        <f>IFERROR(__xludf.DUMMYFUNCTION("GOOGLEFINANCE(B23)"),15.71)</f>
        <v>15.71</v>
      </c>
      <c r="E23" s="27">
        <f t="shared" si="1"/>
        <v>377.04</v>
      </c>
      <c r="F23" s="24">
        <f>E23/E102</f>
        <v>0.009314176328</v>
      </c>
      <c r="G23" s="24">
        <f>IFS(J23="Grupo 0",0,J23="Grupo 1",K23*H105/100,J23="Grupo 2",K23*I105/100,J23="Grupo 3",K23*J105/100,J23="Grupo 4",K23*K105/100)</f>
        <v>0.0108</v>
      </c>
      <c r="H23" s="129">
        <f>IF(L23=1,I23/I102,0)</f>
        <v>0.01180029513</v>
      </c>
      <c r="I23" s="130">
        <f>IF(L23=1,C102*G23-E23,0)</f>
        <v>107.9743721</v>
      </c>
      <c r="J23" s="85" t="s">
        <v>38</v>
      </c>
      <c r="K23" s="135">
        <f>IF(Balanceamentos!R37&gt;0,Balanceamentos!R37,0)</f>
        <v>9</v>
      </c>
      <c r="L23" s="132">
        <f>IF(G23&gt;E23/C102,1,0)</f>
        <v>1</v>
      </c>
      <c r="M23" s="26">
        <f>IF(L23=1,H23*L1,0)</f>
        <v>52.2577032</v>
      </c>
      <c r="N23" s="133">
        <f t="shared" si="3"/>
        <v>3.326397403</v>
      </c>
      <c r="O23" s="61"/>
      <c r="P23" s="50"/>
    </row>
    <row r="24">
      <c r="A24" s="51">
        <v>23.0</v>
      </c>
      <c r="B24" s="52" t="s">
        <v>112</v>
      </c>
      <c r="C24" s="52">
        <v>62.0</v>
      </c>
      <c r="D24" s="71">
        <f>IFERROR(__xludf.DUMMYFUNCTION("GOOGLEFINANCE(B24)"),9.36)</f>
        <v>9.36</v>
      </c>
      <c r="E24" s="54">
        <f t="shared" si="1"/>
        <v>580.32</v>
      </c>
      <c r="F24" s="55">
        <f>E24/E102</f>
        <v>0.01433588693</v>
      </c>
      <c r="G24" s="55">
        <f>IFS(J24="Grupo 0",0,J24="Grupo 1",K24*H105/100,J24="Grupo 2",K24*I105/100,J24="Grupo 3",K24*J105/100,J24="Grupo 4",K24*K105/100)</f>
        <v>0.01428571429</v>
      </c>
      <c r="H24" s="101">
        <f>IF(L24=1,I24/I102,0)</f>
        <v>0.006692071497</v>
      </c>
      <c r="I24" s="102">
        <f>IF(L24=1,C102*G24-E24,0)</f>
        <v>61.23340222</v>
      </c>
      <c r="J24" s="84" t="s">
        <v>35</v>
      </c>
      <c r="K24" s="134">
        <f>IF(Balanceamentos!S37&gt;0,Balanceamentos!S37,0)</f>
        <v>5</v>
      </c>
      <c r="L24" s="128">
        <f>IF(G24&gt;E24/C102,1,0)</f>
        <v>1</v>
      </c>
      <c r="M24" s="60">
        <f>IF(L24=1,H24*L1,0)</f>
        <v>29.6358932</v>
      </c>
      <c r="N24" s="106">
        <f t="shared" si="3"/>
        <v>3.166227906</v>
      </c>
      <c r="O24" s="61"/>
      <c r="P24" s="50"/>
    </row>
    <row r="25">
      <c r="A25" s="73">
        <v>24.0</v>
      </c>
      <c r="B25" s="63" t="s">
        <v>113</v>
      </c>
      <c r="C25" s="63">
        <v>5.0</v>
      </c>
      <c r="D25" s="75">
        <f>IFERROR(__xludf.DUMMYFUNCTION("GOOGLEFINANCE(""BVMF:SBSP3"")"),147.25)</f>
        <v>147.25</v>
      </c>
      <c r="E25" s="27">
        <f t="shared" si="1"/>
        <v>736.25</v>
      </c>
      <c r="F25" s="24">
        <f>E25/E102</f>
        <v>0.01818789073</v>
      </c>
      <c r="G25" s="24">
        <f>IFS(J25="Grupo 0",0,J25="Grupo 1",K25*H105/100,J25="Grupo 2",K25*I105/100,J25="Grupo 3",K25*J105/100,J25="Grupo 4",K25*K105/100)</f>
        <v>0.02</v>
      </c>
      <c r="H25" s="129">
        <f>IF(L25=1,I25/I102,0)</f>
        <v>0.01769642144</v>
      </c>
      <c r="I25" s="130">
        <f>IF(L25=1,C102*G25-E25,0)</f>
        <v>161.9247631</v>
      </c>
      <c r="J25" s="85" t="s">
        <v>35</v>
      </c>
      <c r="K25" s="135">
        <f>IF(Balanceamentos!T37&gt;0,Balanceamentos!T37,0)</f>
        <v>7</v>
      </c>
      <c r="L25" s="132">
        <f>IF(G25&gt;E25/C102,1,0)</f>
        <v>1</v>
      </c>
      <c r="M25" s="26">
        <f>IF(L25=1,H25*L1,0)</f>
        <v>78.36874666</v>
      </c>
      <c r="N25" s="133">
        <f t="shared" si="3"/>
        <v>0.532215597</v>
      </c>
      <c r="O25" s="61"/>
      <c r="P25" s="50"/>
    </row>
    <row r="26">
      <c r="A26" s="51">
        <v>25.0</v>
      </c>
      <c r="B26" s="52" t="s">
        <v>114</v>
      </c>
      <c r="C26" s="52">
        <v>14.0</v>
      </c>
      <c r="D26" s="71">
        <f>IFERROR(__xludf.DUMMYFUNCTION("GOOGLEFINANCE(B26)"),12.37)</f>
        <v>12.37</v>
      </c>
      <c r="E26" s="54">
        <f t="shared" si="1"/>
        <v>173.18</v>
      </c>
      <c r="F26" s="55">
        <f>E26/E102</f>
        <v>0.004278137748</v>
      </c>
      <c r="G26" s="55">
        <f>IFS(J26="Grupo 0",0,J26="Grupo 1",K26*H105/100,J26="Grupo 2",K26*I105/100,J26="Grupo 3",K26*J105/100,J26="Grupo 4",K26*K105/100)</f>
        <v>0.004487179487</v>
      </c>
      <c r="H26" s="101">
        <f>IF(L26=1,I26/I102,0)</f>
        <v>0.003096516938</v>
      </c>
      <c r="I26" s="102">
        <f>IF(L26=1,C102*G26-E26,0)</f>
        <v>28.33356864</v>
      </c>
      <c r="J26" s="84" t="s">
        <v>110</v>
      </c>
      <c r="K26" s="134">
        <f>IF(Balanceamentos!U37&gt;0,Balanceamentos!U37,0)</f>
        <v>7</v>
      </c>
      <c r="L26" s="128">
        <f>IF(G26&gt;E26/C102,1,0)</f>
        <v>1</v>
      </c>
      <c r="M26" s="60">
        <f>IF(L26=1,H26*L1,0)</f>
        <v>13.71295051</v>
      </c>
      <c r="N26" s="106">
        <f t="shared" si="3"/>
        <v>1.108565118</v>
      </c>
      <c r="O26" s="61"/>
      <c r="P26" s="50"/>
    </row>
    <row r="27">
      <c r="A27" s="73">
        <v>26.0</v>
      </c>
      <c r="B27" s="63" t="s">
        <v>115</v>
      </c>
      <c r="C27" s="63">
        <v>34.0</v>
      </c>
      <c r="D27" s="75">
        <f>IFERROR(__xludf.DUMMYFUNCTION("GOOGLEFINANCE(B27)"),13.74)</f>
        <v>13.74</v>
      </c>
      <c r="E27" s="27">
        <f t="shared" si="1"/>
        <v>467.16</v>
      </c>
      <c r="F27" s="24">
        <f>E27/E102</f>
        <v>0.01154044826</v>
      </c>
      <c r="G27" s="24">
        <f>IFS(J27="Grupo 0",0,J27="Grupo 1",K27*H105/100,J27="Grupo 2",K27*I105/100,J27="Grupo 3",K27*J105/100,J27="Grupo 4",K27*K105/100)</f>
        <v>0.01216216216</v>
      </c>
      <c r="H27" s="129">
        <f>IF(L27=1,I27/I102,0)</f>
        <v>0.008636735785</v>
      </c>
      <c r="I27" s="130">
        <f>IF(L27=1,C102*G27-E27,0)</f>
        <v>79.02735594</v>
      </c>
      <c r="J27" s="85" t="s">
        <v>41</v>
      </c>
      <c r="K27" s="135">
        <f>IF(Balanceamentos!V37&gt;0,Balanceamentos!V37,0)</f>
        <v>9</v>
      </c>
      <c r="L27" s="132">
        <f>IF(G27&gt;E27/C102,1,0)</f>
        <v>1</v>
      </c>
      <c r="M27" s="26">
        <f>IF(L27=1,H27*L1,0)</f>
        <v>38.24785486</v>
      </c>
      <c r="N27" s="133">
        <f t="shared" si="3"/>
        <v>2.783686671</v>
      </c>
      <c r="O27" s="61"/>
      <c r="P27" s="50"/>
    </row>
    <row r="28">
      <c r="A28" s="51">
        <v>27.0</v>
      </c>
      <c r="B28" s="52" t="s">
        <v>116</v>
      </c>
      <c r="C28" s="52">
        <v>62.0</v>
      </c>
      <c r="D28" s="71">
        <f>IFERROR(__xludf.DUMMYFUNCTION("GOOGLEFINANCE(""BVMF:ENGI3"")"),12.54)</f>
        <v>12.54</v>
      </c>
      <c r="E28" s="54">
        <f t="shared" si="1"/>
        <v>777.48</v>
      </c>
      <c r="F28" s="55">
        <f>E28/E102</f>
        <v>0.01920641261</v>
      </c>
      <c r="G28" s="55">
        <f>IFS(J28="Grupo 0",0,J28="Grupo 1",K28*H105/100,J28="Grupo 2",K28*I105/100,J28="Grupo 3",K28*J105/100,J28="Grupo 4",K28*K105/100)</f>
        <v>0.02571428571</v>
      </c>
      <c r="H28" s="101">
        <f>IF(L28=1,I28/I102,0)</f>
        <v>0.04123609643</v>
      </c>
      <c r="I28" s="102">
        <f>IF(L28=1,C102*G28-E28,0)</f>
        <v>377.316124</v>
      </c>
      <c r="J28" s="84" t="s">
        <v>35</v>
      </c>
      <c r="K28" s="134">
        <f>IF(Balanceamentos!W37&gt;0,Balanceamentos!W37,0)</f>
        <v>9</v>
      </c>
      <c r="L28" s="128">
        <f>IF(G28&gt;E28/C102,1,0)</f>
        <v>1</v>
      </c>
      <c r="M28" s="60">
        <f>IF(L28=1,H28*L1,0)</f>
        <v>182.6143893</v>
      </c>
      <c r="N28" s="106">
        <f t="shared" si="3"/>
        <v>14.56255098</v>
      </c>
      <c r="O28" s="61"/>
      <c r="P28" s="50"/>
    </row>
    <row r="29">
      <c r="A29" s="73">
        <v>28.0</v>
      </c>
      <c r="B29" s="63" t="s">
        <v>117</v>
      </c>
      <c r="C29" s="63">
        <v>1.0</v>
      </c>
      <c r="D29" s="75">
        <f>IFERROR(__xludf.DUMMYFUNCTION("GOOGLEFINANCE(B29)"),124.01)</f>
        <v>124.01</v>
      </c>
      <c r="E29" s="27">
        <f t="shared" si="1"/>
        <v>124.01</v>
      </c>
      <c r="F29" s="24">
        <f>E29/E102</f>
        <v>0.003063470736</v>
      </c>
      <c r="G29" s="24">
        <f>IFS(J29="Grupo 0",0,J29="Grupo 1",K29*H105/100,J29="Grupo 2",K29*I105/100,J29="Grupo 3",K29*J105/100,J29="Grupo 4",K29*K105/100)</f>
        <v>0.002857142857</v>
      </c>
      <c r="H29" s="129">
        <f>IF(L29=1,I29/I102,0)</f>
        <v>0.0004700124437</v>
      </c>
      <c r="I29" s="130">
        <f>IF(L29=1,C102*G29-E29,0)</f>
        <v>4.300680443</v>
      </c>
      <c r="J29" s="85" t="s">
        <v>35</v>
      </c>
      <c r="K29" s="135">
        <f>IF(Balanceamentos!X37&gt;0,Balanceamentos!X37,0)</f>
        <v>1</v>
      </c>
      <c r="L29" s="132">
        <f>IF(G29&gt;E29/C102,1,0)</f>
        <v>1</v>
      </c>
      <c r="M29" s="26">
        <f>IF(L29=1,H29*L1,0)</f>
        <v>2.08145394</v>
      </c>
      <c r="N29" s="133">
        <f t="shared" si="3"/>
        <v>0.01678456528</v>
      </c>
      <c r="O29" s="61"/>
      <c r="P29" s="50"/>
    </row>
    <row r="30">
      <c r="A30" s="51">
        <v>29.0</v>
      </c>
      <c r="B30" s="52" t="s">
        <v>118</v>
      </c>
      <c r="C30" s="52">
        <v>7.0</v>
      </c>
      <c r="D30" s="71">
        <f>IFERROR(__xludf.DUMMYFUNCTION("GOOGLEFINANCE(""BVMF:AXIA3"")"),57.6)</f>
        <v>57.6</v>
      </c>
      <c r="E30" s="54">
        <f t="shared" si="1"/>
        <v>403.2</v>
      </c>
      <c r="F30" s="55">
        <f>E30/E102</f>
        <v>0.009960417715</v>
      </c>
      <c r="G30" s="55">
        <f>IFS(J30="Grupo 0",0,J30="Grupo 1",K30*H105/100,J30="Grupo 2",K30*I105/100,J30="Grupo 3",K30*J105/100,J30="Grupo 4",K30*K105/100)</f>
        <v>0.0108</v>
      </c>
      <c r="H30" s="101">
        <f>IF(L30=1,I30/I102,0)</f>
        <v>0.008941322997</v>
      </c>
      <c r="I30" s="102">
        <f>IF(L30=1,C102*G30-E30,0)</f>
        <v>81.81437208</v>
      </c>
      <c r="J30" s="84" t="s">
        <v>38</v>
      </c>
      <c r="K30" s="134">
        <f>IF(Balanceamentos!Y37&gt;0,Balanceamentos!Y37,0)</f>
        <v>9</v>
      </c>
      <c r="L30" s="128">
        <f>IF(G30&gt;E30/C102,1,0)</f>
        <v>1</v>
      </c>
      <c r="M30" s="60">
        <f>IF(L30=1,H30*L1,0)</f>
        <v>39.59672181</v>
      </c>
      <c r="N30" s="106">
        <f t="shared" si="3"/>
        <v>0.687443087</v>
      </c>
      <c r="O30" s="61"/>
      <c r="P30" s="50"/>
    </row>
    <row r="31">
      <c r="A31" s="73">
        <v>30.0</v>
      </c>
      <c r="B31" s="63" t="s">
        <v>119</v>
      </c>
      <c r="C31" s="63">
        <v>4.0</v>
      </c>
      <c r="D31" s="75">
        <f>IFERROR(__xludf.DUMMYFUNCTION("GOOGLEFINANCE(B31)"),33.78)</f>
        <v>33.78</v>
      </c>
      <c r="E31" s="27">
        <f t="shared" si="1"/>
        <v>135.12</v>
      </c>
      <c r="F31" s="24">
        <f>E31/E102</f>
        <v>0.003337925699</v>
      </c>
      <c r="G31" s="24">
        <f>IFS(J31="Grupo 0",0,J31="Grupo 1",K31*H105/100,J31="Grupo 2",K31*I105/100,J31="Grupo 3",K31*J105/100,J31="Grupo 4",K31*K105/100)</f>
        <v>0.005769230769</v>
      </c>
      <c r="H31" s="129">
        <f>IF(L31=1,I31/I102,0)</f>
        <v>0.01354830106</v>
      </c>
      <c r="I31" s="130">
        <f>IF(L31=1,C102*G31-E31,0)</f>
        <v>123.968874</v>
      </c>
      <c r="J31" s="85" t="s">
        <v>110</v>
      </c>
      <c r="K31" s="135">
        <f>IF(Balanceamentos!Z37&gt;0,Balanceamentos!Z37,0)</f>
        <v>9</v>
      </c>
      <c r="L31" s="132">
        <f>IF(G31&gt;E31/C102,1,0)</f>
        <v>1</v>
      </c>
      <c r="M31" s="26">
        <f>IF(L31=1,H31*L1,0)</f>
        <v>59.99876172</v>
      </c>
      <c r="N31" s="133">
        <f t="shared" si="3"/>
        <v>1.776162277</v>
      </c>
      <c r="O31" s="61"/>
      <c r="P31" s="50"/>
    </row>
    <row r="32">
      <c r="A32" s="51">
        <v>31.0</v>
      </c>
      <c r="B32" s="52" t="s">
        <v>120</v>
      </c>
      <c r="C32" s="52">
        <v>5.0</v>
      </c>
      <c r="D32" s="71">
        <f>IFERROR(__xludf.DUMMYFUNCTION("GOOGLEFINANCE(B32)"),22.5)</f>
        <v>22.5</v>
      </c>
      <c r="E32" s="54">
        <f t="shared" si="1"/>
        <v>112.5</v>
      </c>
      <c r="F32" s="55">
        <f>E32/E102</f>
        <v>0.002779134407</v>
      </c>
      <c r="G32" s="55">
        <f>IFS(J32="Grupo 0",0,J32="Grupo 1",K32*H105/100,J32="Grupo 2",K32*I105/100,J32="Grupo 3",K32*J105/100,J32="Grupo 4",K32*K105/100)</f>
        <v>0.003205128205</v>
      </c>
      <c r="H32" s="101">
        <f>IF(L32=1,I32/I102,0)</f>
        <v>0.003435822578</v>
      </c>
      <c r="I32" s="102">
        <f>IF(L32=1,C102*G32-E32,0)</f>
        <v>31.43826332</v>
      </c>
      <c r="J32" s="84" t="s">
        <v>110</v>
      </c>
      <c r="K32" s="134">
        <f>IF(Balanceamentos!AA37&gt;0,Balanceamentos!AA37,0)</f>
        <v>5</v>
      </c>
      <c r="L32" s="128">
        <f>IF(G32&gt;E32/C102,1,0)</f>
        <v>1</v>
      </c>
      <c r="M32" s="60">
        <f>IF(L32=1,H32*L1,0)</f>
        <v>15.21556831</v>
      </c>
      <c r="N32" s="106">
        <f t="shared" si="3"/>
        <v>0.6762474803</v>
      </c>
      <c r="O32" s="61"/>
      <c r="P32" s="50"/>
    </row>
    <row r="33">
      <c r="A33" s="73">
        <v>32.0</v>
      </c>
      <c r="B33" s="63" t="s">
        <v>121</v>
      </c>
      <c r="C33" s="63">
        <v>12.0</v>
      </c>
      <c r="D33" s="75">
        <f>IFERROR(__xludf.DUMMYFUNCTION("GOOGLEFINANCE(""BVMF:TIMS3"")"),26.34)</f>
        <v>26.34</v>
      </c>
      <c r="E33" s="27">
        <f t="shared" si="1"/>
        <v>316.08</v>
      </c>
      <c r="F33" s="24">
        <f>E33/E102</f>
        <v>0.00780825603</v>
      </c>
      <c r="G33" s="24">
        <f>IFS(J33="Grupo 0",0,J33="Grupo 1",K33*H105/100,J33="Grupo 2",K33*I105/100,J33="Grupo 3",K33*J105/100,J33="Grupo 4",K33*K105/100)</f>
        <v>0.0084</v>
      </c>
      <c r="H33" s="129">
        <f>IF(L33=1,I33/I102,0)</f>
        <v>0.006683328276</v>
      </c>
      <c r="I33" s="130">
        <f>IF(L33=1,C102*G33-E33,0)</f>
        <v>61.1534005</v>
      </c>
      <c r="J33" s="85" t="s">
        <v>38</v>
      </c>
      <c r="K33" s="135">
        <f>IF(Balanceamentos!AB37&gt;0,Balanceamentos!AB37,0)</f>
        <v>7</v>
      </c>
      <c r="L33" s="132">
        <f>IF(G33&gt;E33/C102,1,0)</f>
        <v>1</v>
      </c>
      <c r="M33" s="26">
        <f>IF(L33=1,H33*L1,0)</f>
        <v>29.59717377</v>
      </c>
      <c r="N33" s="133">
        <f t="shared" si="3"/>
        <v>1.123658837</v>
      </c>
      <c r="O33" s="61"/>
      <c r="P33" s="50"/>
    </row>
    <row r="34">
      <c r="A34" s="51">
        <v>33.0</v>
      </c>
      <c r="B34" s="52" t="s">
        <v>122</v>
      </c>
      <c r="C34" s="52">
        <v>13.0</v>
      </c>
      <c r="D34" s="71">
        <f>IFERROR(__xludf.DUMMYFUNCTION("GOOGLEFINANCE(B34)"),14.74)</f>
        <v>14.74</v>
      </c>
      <c r="E34" s="54">
        <f t="shared" si="1"/>
        <v>191.62</v>
      </c>
      <c r="F34" s="55">
        <f>E34/E102</f>
        <v>0.004733668756</v>
      </c>
      <c r="G34" s="55">
        <f>IFS(J34="Grupo 0",0,J34="Grupo 1",K34*H105/100,J34="Grupo 2",K34*I105/100,J34="Grupo 3",K34*J105/100,J34="Grupo 4",K34*K105/100)</f>
        <v>0.004487179487</v>
      </c>
      <c r="H34" s="101">
        <f>IF(L34=1,I34/I102,0)</f>
        <v>0.001081247593</v>
      </c>
      <c r="I34" s="102">
        <f>IF(L34=1,C102*G34-E34,0)</f>
        <v>9.893568645</v>
      </c>
      <c r="J34" s="84" t="s">
        <v>110</v>
      </c>
      <c r="K34" s="134">
        <f>IF(Balanceamentos!AC37&gt;0,Balanceamentos!AC37,0)</f>
        <v>7</v>
      </c>
      <c r="L34" s="128">
        <f>IF(G34&gt;E34/C102,1,0)</f>
        <v>1</v>
      </c>
      <c r="M34" s="60">
        <f>IF(L34=1,H34*L1,0)</f>
        <v>4.788313781</v>
      </c>
      <c r="N34" s="106">
        <f t="shared" si="3"/>
        <v>0.3248516812</v>
      </c>
      <c r="O34" s="61"/>
      <c r="P34" s="50"/>
    </row>
    <row r="35">
      <c r="A35" s="73">
        <v>34.0</v>
      </c>
      <c r="B35" s="63" t="s">
        <v>123</v>
      </c>
      <c r="C35" s="63">
        <v>35.0</v>
      </c>
      <c r="D35" s="75">
        <f>IFERROR(__xludf.DUMMYFUNCTION("GOOGLEFINANCE(B35)"),4.81)</f>
        <v>4.81</v>
      </c>
      <c r="E35" s="27">
        <f t="shared" si="1"/>
        <v>168.35</v>
      </c>
      <c r="F35" s="24">
        <f>E35/E102</f>
        <v>0.004158820244</v>
      </c>
      <c r="G35" s="24">
        <f>IFS(J35="Grupo 0",0,J35="Grupo 1",K35*H105/100,J35="Grupo 2",K35*I105/100,J35="Grupo 3",K35*J105/100,J35="Grupo 4",K35*K105/100)</f>
        <v>0.006</v>
      </c>
      <c r="H35" s="129">
        <f>IF(L35=1,I35/I102,0)</f>
        <v>0.01104927472</v>
      </c>
      <c r="I35" s="130">
        <f>IF(L35=1,C102*G35-E35,0)</f>
        <v>101.1024289</v>
      </c>
      <c r="J35" s="85" t="s">
        <v>38</v>
      </c>
      <c r="K35" s="135">
        <f>IF(Balanceamentos!AD37&gt;0,Balanceamentos!AD37,0)</f>
        <v>5</v>
      </c>
      <c r="L35" s="132">
        <f>IF(G35&gt;E35/C102,1,0)</f>
        <v>1</v>
      </c>
      <c r="M35" s="26">
        <f>IF(L35=1,H35*L1,0)</f>
        <v>48.93180319</v>
      </c>
      <c r="N35" s="133">
        <f t="shared" si="3"/>
        <v>10.17293206</v>
      </c>
      <c r="O35" s="61"/>
      <c r="P35" s="50"/>
    </row>
    <row r="36">
      <c r="A36" s="51">
        <v>35.0</v>
      </c>
      <c r="B36" s="52" t="s">
        <v>124</v>
      </c>
      <c r="C36" s="52">
        <v>19.0</v>
      </c>
      <c r="D36" s="71">
        <f>IFERROR(__xludf.DUMMYFUNCTION("GOOGLEFINANCE(B36)"),4.8)</f>
        <v>4.8</v>
      </c>
      <c r="E36" s="54">
        <f t="shared" si="1"/>
        <v>91.2</v>
      </c>
      <c r="F36" s="55">
        <f>E36/E102</f>
        <v>0.002252951626</v>
      </c>
      <c r="G36" s="55">
        <f>IFS(J36="Grupo 0",0,J36="Grupo 1",K36*H105/100,J36="Grupo 2",K36*I105/100,J36="Grupo 3",K36*J105/100,J36="Grupo 4",K36*K105/100)</f>
        <v>0.001923076923</v>
      </c>
      <c r="H36" s="101">
        <f>IF(L36=1,I36/I102,0)</f>
        <v>0</v>
      </c>
      <c r="I36" s="102">
        <f>IF(L36=1,C102*G36-E36,0)</f>
        <v>0</v>
      </c>
      <c r="J36" s="84" t="s">
        <v>110</v>
      </c>
      <c r="K36" s="134">
        <f>IF(Balanceamentos!AE37&gt;0,Balanceamentos!AE37,0)</f>
        <v>3</v>
      </c>
      <c r="L36" s="128">
        <f>IF(G36&gt;E36/C102,1,0)</f>
        <v>0</v>
      </c>
      <c r="M36" s="60">
        <f>IF(L36=1,H36*L1,0)</f>
        <v>0</v>
      </c>
      <c r="N36" s="106">
        <f t="shared" si="3"/>
        <v>0</v>
      </c>
      <c r="O36" s="61"/>
      <c r="P36" s="50"/>
    </row>
    <row r="37">
      <c r="A37" s="73">
        <v>36.0</v>
      </c>
      <c r="B37" s="63" t="s">
        <v>125</v>
      </c>
      <c r="C37" s="63">
        <v>13.0</v>
      </c>
      <c r="D37" s="75">
        <f>IFERROR(__xludf.DUMMYFUNCTION("GOOGLEFINANCE(B37)"),19.85)</f>
        <v>19.85</v>
      </c>
      <c r="E37" s="27">
        <f t="shared" si="1"/>
        <v>258.05</v>
      </c>
      <c r="F37" s="24">
        <f>E37/E102</f>
        <v>0.006374716744</v>
      </c>
      <c r="G37" s="24">
        <f>IFS(J37="Grupo 0",0,J37="Grupo 1",K37*H105/100,J37="Grupo 2",K37*I105/100,J37="Grupo 3",K37*J105/100,J37="Grupo 4",K37*K105/100)</f>
        <v>0.0084</v>
      </c>
      <c r="H37" s="129">
        <f>IF(L37=1,I37/I102,0)</f>
        <v>0.01302530659</v>
      </c>
      <c r="I37" s="130">
        <f>IF(L37=1,C102*G37-E37,0)</f>
        <v>119.1834005</v>
      </c>
      <c r="J37" s="85" t="s">
        <v>38</v>
      </c>
      <c r="K37" s="135">
        <f>IF(Balanceamentos!AF37&gt;0,Balanceamentos!AF37,0)</f>
        <v>7</v>
      </c>
      <c r="L37" s="132">
        <f>IF(G37&gt;E37/C102,1,0)</f>
        <v>1</v>
      </c>
      <c r="M37" s="26">
        <f>IF(L37=1,H37*L1,0)</f>
        <v>57.68267646</v>
      </c>
      <c r="N37" s="133">
        <f t="shared" si="3"/>
        <v>2.905928285</v>
      </c>
      <c r="O37" s="61"/>
      <c r="P37" s="50"/>
    </row>
    <row r="38">
      <c r="A38" s="51">
        <v>37.0</v>
      </c>
      <c r="B38" s="52" t="s">
        <v>126</v>
      </c>
      <c r="C38" s="52">
        <v>8.0</v>
      </c>
      <c r="D38" s="71">
        <f>IFERROR(__xludf.DUMMYFUNCTION("GOOGLEFINANCE(B38)"),16.45)</f>
        <v>16.45</v>
      </c>
      <c r="E38" s="54">
        <f t="shared" si="1"/>
        <v>131.6</v>
      </c>
      <c r="F38" s="55">
        <f>E38/E102</f>
        <v>0.003250969671</v>
      </c>
      <c r="G38" s="55">
        <f>IFS(J38="Grupo 0",0,J38="Grupo 1",K38*H105/100,J38="Grupo 2",K38*I105/100,J38="Grupo 3",K38*J105/100,J38="Grupo 4",K38*K105/100)</f>
        <v>0.004487179487</v>
      </c>
      <c r="H38" s="101">
        <f>IF(L38=1,I38/I102,0)</f>
        <v>0.007640708879</v>
      </c>
      <c r="I38" s="102">
        <f>IF(L38=1,C102*G38-E38,0)</f>
        <v>69.91356864</v>
      </c>
      <c r="J38" s="84" t="s">
        <v>110</v>
      </c>
      <c r="K38" s="134">
        <f>IF(Balanceamentos!AG37&gt;0,Balanceamentos!AG37,0)</f>
        <v>7</v>
      </c>
      <c r="L38" s="128">
        <f>IF(G38&gt;E38/C102,1,0)</f>
        <v>1</v>
      </c>
      <c r="M38" s="60">
        <f>IF(L38=1,H38*L1,0)</f>
        <v>33.83694158</v>
      </c>
      <c r="N38" s="106">
        <f t="shared" si="3"/>
        <v>2.056956935</v>
      </c>
      <c r="O38" s="61"/>
      <c r="P38" s="50"/>
    </row>
    <row r="39">
      <c r="A39" s="73">
        <v>38.0</v>
      </c>
      <c r="B39" s="63" t="s">
        <v>127</v>
      </c>
      <c r="C39" s="63">
        <v>27.0</v>
      </c>
      <c r="D39" s="75">
        <f>IFERROR(__xludf.DUMMYFUNCTION("GOOGLEFINANCE(""BVMF:WEGE3"")"),46.16)</f>
        <v>46.16</v>
      </c>
      <c r="E39" s="27">
        <f t="shared" si="1"/>
        <v>1246.32</v>
      </c>
      <c r="F39" s="24">
        <f>E39/E102</f>
        <v>0.03078836262</v>
      </c>
      <c r="G39" s="24">
        <f>IFS(J39="Grupo 0",0,J39="Grupo 1",K39*H105/100,J39="Grupo 2",K39*I105/100,J39="Grupo 3",K39*J105/100,J39="Grupo 4",K39*K105/100)</f>
        <v>0.03142857143</v>
      </c>
      <c r="H39" s="129">
        <f>IF(L39=1,I39/I102,0)</f>
        <v>0.01804316162</v>
      </c>
      <c r="I39" s="130">
        <f>IF(L39=1,C102*G39-E39,0)</f>
        <v>165.0974849</v>
      </c>
      <c r="J39" s="85" t="s">
        <v>35</v>
      </c>
      <c r="K39" s="135">
        <f>IF(Balanceamentos!AH37&gt;0,Balanceamentos!AH37,0)</f>
        <v>11</v>
      </c>
      <c r="L39" s="132">
        <f>IF(G39&gt;E39/C102,1,0)</f>
        <v>1</v>
      </c>
      <c r="M39" s="26">
        <f>IF(L39=1,H39*L1,0)</f>
        <v>79.90428838</v>
      </c>
      <c r="N39" s="133">
        <f t="shared" si="3"/>
        <v>1.731028778</v>
      </c>
      <c r="O39" s="61"/>
      <c r="P39" s="50"/>
    </row>
    <row r="40">
      <c r="A40" s="51">
        <v>39.0</v>
      </c>
      <c r="B40" s="52" t="s">
        <v>128</v>
      </c>
      <c r="C40" s="52">
        <v>55.0</v>
      </c>
      <c r="D40" s="71">
        <f>IFERROR(__xludf.DUMMYFUNCTION("GOOGLEFINANCE(B40)"),7.72)</f>
        <v>7.72</v>
      </c>
      <c r="E40" s="54">
        <f t="shared" si="1"/>
        <v>424.6</v>
      </c>
      <c r="F40" s="55">
        <f>E40/E102</f>
        <v>0.01048907084</v>
      </c>
      <c r="G40" s="55">
        <f>IFS(J40="Grupo 0",0,J40="Grupo 1",K40*H105/100,J40="Grupo 2",K40*I105/100,J40="Grupo 3",K40*J105/100,J40="Grupo 4",K40*K105/100)</f>
        <v>0.01216216216</v>
      </c>
      <c r="H40" s="101">
        <f>IF(L40=1,I40/I102,0)</f>
        <v>0.01328802989</v>
      </c>
      <c r="I40" s="102">
        <f>IF(L40=1,C102*G40-E40,0)</f>
        <v>121.5873559</v>
      </c>
      <c r="J40" s="84" t="s">
        <v>41</v>
      </c>
      <c r="K40" s="134">
        <f>IF(Balanceamentos!AI37&gt;0,Balanceamentos!AI37,0)</f>
        <v>9</v>
      </c>
      <c r="L40" s="128">
        <f>IF(G40&gt;E40/C102,1,0)</f>
        <v>1</v>
      </c>
      <c r="M40" s="60">
        <f>IF(L40=1,H40*L1,0)</f>
        <v>58.84614875</v>
      </c>
      <c r="N40" s="106">
        <f t="shared" si="3"/>
        <v>7.622558128</v>
      </c>
      <c r="O40" s="61"/>
      <c r="P40" s="50"/>
    </row>
    <row r="41">
      <c r="A41" s="73">
        <v>40.0</v>
      </c>
      <c r="B41" s="63" t="s">
        <v>129</v>
      </c>
      <c r="C41" s="63">
        <v>25.0</v>
      </c>
      <c r="D41" s="75">
        <f>IFERROR(__xludf.DUMMYFUNCTION("GOOGLEFINANCE(B41)"),6.14)</f>
        <v>6.14</v>
      </c>
      <c r="E41" s="27">
        <f t="shared" si="1"/>
        <v>153.5</v>
      </c>
      <c r="F41" s="24">
        <f>E41/E102</f>
        <v>0.003791974502</v>
      </c>
      <c r="G41" s="24">
        <f>IFS(J41="Grupo 0",0,J41="Grupo 1",K41*H105/100,J41="Grupo 2",K41*I105/100,J41="Grupo 3",K41*J105/100,J41="Grupo 4",K41*K105/100)</f>
        <v>0.004487179487</v>
      </c>
      <c r="H41" s="129">
        <f>IF(L41=1,I41/I102,0)</f>
        <v>0.005247303311</v>
      </c>
      <c r="I41" s="130">
        <f>IF(L41=1,C102*G41-E41,0)</f>
        <v>48.01356864</v>
      </c>
      <c r="J41" s="85" t="s">
        <v>110</v>
      </c>
      <c r="K41" s="135">
        <f>IF(Balanceamentos!AJ37&gt;0,Balanceamentos!AJ37,0)</f>
        <v>7</v>
      </c>
      <c r="L41" s="132">
        <f>IF(G41&gt;E41/C102,1,0)</f>
        <v>1</v>
      </c>
      <c r="M41" s="26">
        <f>IF(L41=1,H41*L1,0)</f>
        <v>23.23772551</v>
      </c>
      <c r="N41" s="133">
        <f t="shared" si="3"/>
        <v>3.784645848</v>
      </c>
      <c r="O41" s="61"/>
      <c r="P41" s="50"/>
    </row>
    <row r="42">
      <c r="A42" s="51">
        <v>41.0</v>
      </c>
      <c r="B42" s="52" t="s">
        <v>130</v>
      </c>
      <c r="C42" s="52">
        <v>10.0</v>
      </c>
      <c r="D42" s="71">
        <f>IFERROR(__xludf.DUMMYFUNCTION("GOOGLEFINANCE(B42)"),28.26)</f>
        <v>28.26</v>
      </c>
      <c r="E42" s="54">
        <f t="shared" si="1"/>
        <v>282.6</v>
      </c>
      <c r="F42" s="55">
        <f>E42/E102</f>
        <v>0.006981185631</v>
      </c>
      <c r="G42" s="55">
        <f>IFS(J42="Grupo 0",0,J42="Grupo 1",K42*H105/100,J42="Grupo 2",K42*I105/100,J42="Grupo 3",K42*J105/100,J42="Grupo 4",K42*K105/100)</f>
        <v>0.009459459459</v>
      </c>
      <c r="H42" s="101">
        <f>IF(L42=1,I42/I102,0)</f>
        <v>0.01554209685</v>
      </c>
      <c r="I42" s="102">
        <f>IF(L42=1,C102*G42-E42,0)</f>
        <v>142.212388</v>
      </c>
      <c r="J42" s="84" t="s">
        <v>41</v>
      </c>
      <c r="K42" s="134">
        <f>IF(Balanceamentos!AK37&gt;0,Balanceamentos!AK37,0)</f>
        <v>7</v>
      </c>
      <c r="L42" s="128">
        <f>IF(G42&gt;E42/C102,1,0)</f>
        <v>1</v>
      </c>
      <c r="M42" s="60">
        <f>IF(L42=1,H42*L1,0)</f>
        <v>68.82830267</v>
      </c>
      <c r="N42" s="106">
        <f t="shared" si="3"/>
        <v>2.435537957</v>
      </c>
      <c r="O42" s="61"/>
      <c r="P42" s="50"/>
    </row>
    <row r="43">
      <c r="A43" s="73">
        <v>42.0</v>
      </c>
      <c r="B43" s="63"/>
      <c r="C43" s="63"/>
      <c r="D43" s="75"/>
      <c r="E43" s="27">
        <f t="shared" si="1"/>
        <v>0</v>
      </c>
      <c r="F43" s="24">
        <f>E43/E102</f>
        <v>0</v>
      </c>
      <c r="G43" s="24">
        <f>IFS(J43="Grupo 0",0,J43="Grupo 1",K43*H105/100,J43="Grupo 2",K43*I105/100,J43="Grupo 3",K43*J105/100,J43="Grupo 4",K43*K105/100)</f>
        <v>0</v>
      </c>
      <c r="H43" s="129">
        <f>IF(L43=1,I43/I102,0)</f>
        <v>0</v>
      </c>
      <c r="I43" s="130">
        <f>IF(L43=1,C102*G43-E43,0)</f>
        <v>0</v>
      </c>
      <c r="J43" s="85" t="s">
        <v>36</v>
      </c>
      <c r="K43" s="135">
        <f>IF(Balanceamentos!AL37&gt;0,Balanceamentos!AL37,0)</f>
        <v>7</v>
      </c>
      <c r="L43" s="132">
        <f>IF(G43&gt;E43/C102,1,0)</f>
        <v>0</v>
      </c>
      <c r="M43" s="26">
        <f>IF(L43=1,H43*L1,0)</f>
        <v>0</v>
      </c>
      <c r="N43" s="133">
        <f t="shared" si="3"/>
        <v>0</v>
      </c>
      <c r="O43" s="61"/>
      <c r="P43" s="50"/>
    </row>
    <row r="44">
      <c r="A44" s="51">
        <v>43.0</v>
      </c>
      <c r="B44" s="52" t="s">
        <v>131</v>
      </c>
      <c r="C44" s="52">
        <v>36.0</v>
      </c>
      <c r="D44" s="71">
        <f>IFERROR(__xludf.DUMMYFUNCTION("GOOGLEFINANCE(B44)"),8.79)</f>
        <v>8.79</v>
      </c>
      <c r="E44" s="54">
        <f t="shared" si="1"/>
        <v>316.44</v>
      </c>
      <c r="F44" s="55">
        <f>E44/E102</f>
        <v>0.00781714926</v>
      </c>
      <c r="G44" s="55">
        <f>IFS(J44="Grupo 0",0,J44="Grupo 1",K44*H105/100,J44="Grupo 2",K44*I105/100,J44="Grupo 3",K44*J105/100,J44="Grupo 4",K44*K105/100)</f>
        <v>0.0084</v>
      </c>
      <c r="H44" s="101">
        <f>IF(L44=1,I44/I102,0)</f>
        <v>0.006643984623</v>
      </c>
      <c r="I44" s="102">
        <f>IF(L44=1,C102*G44-E44,0)</f>
        <v>60.7934005</v>
      </c>
      <c r="J44" s="84" t="s">
        <v>38</v>
      </c>
      <c r="K44" s="134">
        <f>IF(Balanceamentos!AM37&gt;0,Balanceamentos!AM37,0)</f>
        <v>7</v>
      </c>
      <c r="L44" s="128">
        <f>IF(G44&gt;E44/C102,1,0)</f>
        <v>1</v>
      </c>
      <c r="M44" s="60">
        <f>IF(L44=1,H44*L1,0)</f>
        <v>29.42294008</v>
      </c>
      <c r="N44" s="106">
        <f t="shared" si="3"/>
        <v>3.347319691</v>
      </c>
      <c r="O44" s="61"/>
      <c r="P44" s="50"/>
    </row>
    <row r="45">
      <c r="A45" s="73">
        <v>44.0</v>
      </c>
      <c r="B45" s="63" t="s">
        <v>132</v>
      </c>
      <c r="C45" s="63">
        <v>22.0</v>
      </c>
      <c r="D45" s="75">
        <f>IFERROR(__xludf.DUMMYFUNCTION("GOOGLEFINANCE(""BVMF:MOTV3"")"),15.15)</f>
        <v>15.15</v>
      </c>
      <c r="E45" s="27">
        <f t="shared" si="1"/>
        <v>333.3</v>
      </c>
      <c r="F45" s="24">
        <f>E45/E102</f>
        <v>0.00823364887</v>
      </c>
      <c r="G45" s="24">
        <f>IFS(J45="Grupo 0",0,J45="Grupo 1",K45*H105/100,J45="Grupo 2",K45*I105/100,J45="Grupo 3",K45*J105/100,J45="Grupo 4",K45*K105/100)</f>
        <v>0.009459459459</v>
      </c>
      <c r="H45" s="129">
        <f>IF(L45=1,I45/I102,0)</f>
        <v>0.01000119903</v>
      </c>
      <c r="I45" s="130">
        <f>IF(L45=1,C102*G45-E45,0)</f>
        <v>91.51238795</v>
      </c>
      <c r="J45" s="85" t="s">
        <v>41</v>
      </c>
      <c r="K45" s="135">
        <f>IF(Balanceamentos!AN37&gt;0,Balanceamentos!AN37,0)</f>
        <v>7</v>
      </c>
      <c r="L45" s="132">
        <f>IF(G45&gt;E45/C102,1,0)</f>
        <v>1</v>
      </c>
      <c r="M45" s="26">
        <f>IF(L45=1,H45*L1,0)</f>
        <v>44.29039148</v>
      </c>
      <c r="N45" s="133">
        <f t="shared" si="3"/>
        <v>2.923458184</v>
      </c>
      <c r="O45" s="61"/>
      <c r="P45" s="50"/>
    </row>
    <row r="46">
      <c r="A46" s="51">
        <v>45.0</v>
      </c>
      <c r="B46" s="52" t="s">
        <v>133</v>
      </c>
      <c r="C46" s="52">
        <v>13.0</v>
      </c>
      <c r="D46" s="71">
        <f>IFERROR(__xludf.DUMMYFUNCTION("GOOGLEFINANCE(B46)"),18.08)</f>
        <v>18.08</v>
      </c>
      <c r="E46" s="54">
        <f t="shared" si="1"/>
        <v>235.04</v>
      </c>
      <c r="F46" s="55">
        <f>E46/E102</f>
        <v>0.00580629112</v>
      </c>
      <c r="G46" s="55">
        <f>IFS(J46="Grupo 0",0,J46="Grupo 1",K46*H105/100,J46="Grupo 2",K46*I105/100,J46="Grupo 3",K46*J105/100,J46="Grupo 4",K46*K105/100)</f>
        <v>0.006756756757</v>
      </c>
      <c r="H46" s="101">
        <f>IF(L46=1,I46/I102,0)</f>
        <v>0.007475012135</v>
      </c>
      <c r="I46" s="102">
        <f>IF(L46=1,C102*G46-E46,0)</f>
        <v>68.39741997</v>
      </c>
      <c r="J46" s="84" t="s">
        <v>41</v>
      </c>
      <c r="K46" s="134">
        <f>IF(Balanceamentos!AO37&gt;0,Balanceamentos!AO37,0)</f>
        <v>5</v>
      </c>
      <c r="L46" s="128">
        <f>IF(G46&gt;E46/C102,1,0)</f>
        <v>1</v>
      </c>
      <c r="M46" s="60">
        <f>IF(L46=1,H46*L1,0)</f>
        <v>33.1031522</v>
      </c>
      <c r="N46" s="106">
        <f t="shared" si="3"/>
        <v>1.83092656</v>
      </c>
      <c r="O46" s="61"/>
      <c r="P46" s="50"/>
    </row>
    <row r="47">
      <c r="A47" s="73">
        <v>46.0</v>
      </c>
      <c r="B47" s="63" t="s">
        <v>134</v>
      </c>
      <c r="C47" s="63">
        <v>113.0</v>
      </c>
      <c r="D47" s="75">
        <f>IFERROR(__xludf.DUMMYFUNCTION("GOOGLEFINANCE(B47)"),5.56)</f>
        <v>5.56</v>
      </c>
      <c r="E47" s="27">
        <f t="shared" si="1"/>
        <v>628.28</v>
      </c>
      <c r="F47" s="24">
        <f>E47/E102</f>
        <v>0.0155206628</v>
      </c>
      <c r="G47" s="24">
        <f>IFS(J47="Grupo 0",0,J47="Grupo 1",K47*H105/100,J47="Grupo 2",K47*I105/100,J47="Grupo 3",K47*J105/100,J47="Grupo 4",K47*K105/100)</f>
        <v>0.02571428571</v>
      </c>
      <c r="H47" s="129">
        <f>IF(L47=1,I47/I102,0)</f>
        <v>0.05754185491</v>
      </c>
      <c r="I47" s="130">
        <f>IF(L47=1,C102*G47-E47,0)</f>
        <v>526.516124</v>
      </c>
      <c r="J47" s="85" t="s">
        <v>35</v>
      </c>
      <c r="K47" s="135">
        <f>IF(Balanceamentos!AP37&gt;0,Balanceamentos!AP37,0)</f>
        <v>9</v>
      </c>
      <c r="L47" s="132">
        <f>IF(G47&gt;E47/C102,1,0)</f>
        <v>1</v>
      </c>
      <c r="M47" s="26">
        <f>IF(L47=1,H47*L1,0)</f>
        <v>254.8245737</v>
      </c>
      <c r="N47" s="133">
        <f t="shared" si="3"/>
        <v>45.83175787</v>
      </c>
      <c r="O47" s="61"/>
      <c r="P47" s="50"/>
    </row>
    <row r="48">
      <c r="A48" s="51">
        <v>47.0</v>
      </c>
      <c r="B48" s="52" t="s">
        <v>135</v>
      </c>
      <c r="C48" s="52">
        <v>37.0</v>
      </c>
      <c r="D48" s="71">
        <f>IFERROR(__xludf.DUMMYFUNCTION("GOOGLEFINANCE(B48)"),21.21)</f>
        <v>21.21</v>
      </c>
      <c r="E48" s="54">
        <f t="shared" si="1"/>
        <v>784.77</v>
      </c>
      <c r="F48" s="55">
        <f>E48/E102</f>
        <v>0.01938650052</v>
      </c>
      <c r="G48" s="55">
        <f>IFS(J48="Grupo 0",0,J48="Grupo 1",K48*H105/100,J48="Grupo 2",K48*I105/100,J48="Grupo 3",K48*J105/100,J48="Grupo 4",K48*K105/100)</f>
        <v>0.02571428571</v>
      </c>
      <c r="H48" s="101">
        <f>IF(L48=1,I48/I102,0)</f>
        <v>0.04043938746</v>
      </c>
      <c r="I48" s="102">
        <f>IF(L48=1,C102*G48-E48,0)</f>
        <v>370.026124</v>
      </c>
      <c r="J48" s="84" t="s">
        <v>35</v>
      </c>
      <c r="K48" s="134">
        <f>IF(Balanceamentos!AQ37&gt;0,Balanceamentos!AQ37,0)</f>
        <v>9</v>
      </c>
      <c r="L48" s="128">
        <f>IF(G48&gt;E48/C102,1,0)</f>
        <v>1</v>
      </c>
      <c r="M48" s="60">
        <f>IF(L48=1,H48*L1,0)</f>
        <v>179.0861571</v>
      </c>
      <c r="N48" s="106">
        <f t="shared" si="3"/>
        <v>8.44347747</v>
      </c>
      <c r="O48" s="61"/>
      <c r="P48" s="50"/>
    </row>
    <row r="49">
      <c r="A49" s="73">
        <v>48.0</v>
      </c>
      <c r="B49" s="63" t="s">
        <v>136</v>
      </c>
      <c r="C49" s="63">
        <v>59.0</v>
      </c>
      <c r="D49" s="75">
        <f>IFERROR(__xludf.DUMMYFUNCTION("GOOGLEFINANCE(B49)"),3.48)</f>
        <v>3.48</v>
      </c>
      <c r="E49" s="27">
        <f t="shared" si="1"/>
        <v>205.32</v>
      </c>
      <c r="F49" s="24">
        <f>E49/E102</f>
        <v>0.005072105569</v>
      </c>
      <c r="G49" s="24">
        <f>IFS(J49="Grupo 0",0,J49="Grupo 1",K49*H105/100,J49="Grupo 2",K49*I105/100,J49="Grupo 3",K49*J105/100,J49="Grupo 4",K49*K105/100)</f>
        <v>0.006</v>
      </c>
      <c r="H49" s="129">
        <f>IF(L49=1,I49/I102,0)</f>
        <v>0.007008900113</v>
      </c>
      <c r="I49" s="130">
        <f>IF(L49=1,C102*G49-E49,0)</f>
        <v>64.13242893</v>
      </c>
      <c r="J49" s="85" t="s">
        <v>38</v>
      </c>
      <c r="K49" s="135">
        <f>IF(Balanceamentos!AR37&gt;0,Balanceamentos!AR37,0)</f>
        <v>5</v>
      </c>
      <c r="L49" s="132">
        <f>IF(G49&gt;E49/C102,1,0)</f>
        <v>1</v>
      </c>
      <c r="M49" s="26">
        <f>IF(L49=1,H49*L1,0)</f>
        <v>31.03897131</v>
      </c>
      <c r="N49" s="133">
        <f t="shared" si="3"/>
        <v>8.919244628</v>
      </c>
      <c r="O49" s="61"/>
      <c r="P49" s="50"/>
    </row>
    <row r="50">
      <c r="A50" s="51">
        <v>49.0</v>
      </c>
      <c r="B50" s="52" t="s">
        <v>137</v>
      </c>
      <c r="C50" s="52">
        <v>45.0</v>
      </c>
      <c r="D50" s="71">
        <f>IFERROR(__xludf.DUMMYFUNCTION("GOOGLEFINANCE(B50)"),23.18)</f>
        <v>23.18</v>
      </c>
      <c r="E50" s="54">
        <f t="shared" si="1"/>
        <v>1043.1</v>
      </c>
      <c r="F50" s="55">
        <f>E50/E102</f>
        <v>0.02576813422</v>
      </c>
      <c r="G50" s="55">
        <f>IFS(J50="Grupo 0",0,J50="Grupo 1",K50*H105/100,J50="Grupo 2",K50*I105/100,J50="Grupo 3",K50*J105/100,J50="Grupo 4",K50*K105/100)</f>
        <v>0.02571428571</v>
      </c>
      <c r="H50" s="101">
        <f>IF(L50=1,I50/I102,0)</f>
        <v>0.01220703767</v>
      </c>
      <c r="I50" s="102">
        <f>IF(L50=1,C102*G50-E50,0)</f>
        <v>111.696124</v>
      </c>
      <c r="J50" s="84" t="s">
        <v>35</v>
      </c>
      <c r="K50" s="134">
        <f>IF(Balanceamentos!AS37&gt;0,Balanceamentos!AS37,0)</f>
        <v>9</v>
      </c>
      <c r="L50" s="128">
        <f>IF(G50&gt;E50/C102,1,0)</f>
        <v>1</v>
      </c>
      <c r="M50" s="60">
        <f>IF(L50=1,H50*L1,0)</f>
        <v>54.05896588</v>
      </c>
      <c r="N50" s="106">
        <f t="shared" si="3"/>
        <v>2.332138304</v>
      </c>
      <c r="O50" s="61"/>
      <c r="P50" s="50"/>
    </row>
    <row r="51">
      <c r="A51" s="73">
        <v>50.0</v>
      </c>
      <c r="B51" s="63" t="s">
        <v>138</v>
      </c>
      <c r="C51" s="63">
        <v>12.0</v>
      </c>
      <c r="D51" s="75">
        <f>IFERROR(__xludf.DUMMYFUNCTION("GOOGLEFINANCE(B51)"),6.1)</f>
        <v>6.1</v>
      </c>
      <c r="E51" s="27">
        <f t="shared" si="1"/>
        <v>73.2</v>
      </c>
      <c r="F51" s="24">
        <f>E51/E102</f>
        <v>0.001808290121</v>
      </c>
      <c r="G51" s="24">
        <f>IFS(J51="Grupo 0",0,J51="Grupo 1",K51*H105/100,J51="Grupo 2",K51*I105/100,J51="Grupo 3",K51*J105/100,J51="Grupo 4",K51*K105/100)</f>
        <v>0.0012</v>
      </c>
      <c r="H51" s="129">
        <f>IF(L51=1,I51/I102,0)</f>
        <v>0</v>
      </c>
      <c r="I51" s="130">
        <f>IF(L51=1,C102*G51-E51,0)</f>
        <v>0</v>
      </c>
      <c r="J51" s="85" t="s">
        <v>38</v>
      </c>
      <c r="K51" s="135">
        <f>IF(Balanceamentos!AT37&gt;0,Balanceamentos!AT37,0)</f>
        <v>1</v>
      </c>
      <c r="L51" s="132">
        <f>IF(G51&gt;E51/C102,1,0)</f>
        <v>0</v>
      </c>
      <c r="M51" s="26">
        <f>IF(L51=1,H51*L1,0)</f>
        <v>0</v>
      </c>
      <c r="N51" s="133">
        <f t="shared" si="3"/>
        <v>0</v>
      </c>
      <c r="O51" s="61"/>
      <c r="P51" s="50"/>
    </row>
    <row r="52">
      <c r="A52" s="51">
        <v>51.0</v>
      </c>
      <c r="B52" s="52" t="s">
        <v>139</v>
      </c>
      <c r="C52" s="52">
        <v>17.0</v>
      </c>
      <c r="D52" s="71">
        <f>IFERROR(__xludf.DUMMYFUNCTION("GOOGLEFINANCE(B52)"),7.9)</f>
        <v>7.9</v>
      </c>
      <c r="E52" s="54">
        <f t="shared" si="1"/>
        <v>134.3</v>
      </c>
      <c r="F52" s="55">
        <f>E52/E102</f>
        <v>0.003317668897</v>
      </c>
      <c r="G52" s="55">
        <f>IFS(J52="Grupo 0",0,J52="Grupo 1",K52*H105/100,J52="Grupo 2",K52*I105/100,J52="Grupo 3",K52*J105/100,J52="Grupo 4",K52*K105/100)</f>
        <v>0.0036</v>
      </c>
      <c r="H52" s="101">
        <f>IF(L52=1,I52/I102,0)</f>
        <v>0.002991369792</v>
      </c>
      <c r="I52" s="102">
        <f>IF(L52=1,C102*G52-E52,0)</f>
        <v>27.37145736</v>
      </c>
      <c r="J52" s="84" t="s">
        <v>38</v>
      </c>
      <c r="K52" s="134">
        <f>IF(Balanceamentos!AU37&gt;0,Balanceamentos!AU37,0)</f>
        <v>3</v>
      </c>
      <c r="L52" s="128">
        <f>IF(G52&gt;E52/C102,1,0)</f>
        <v>1</v>
      </c>
      <c r="M52" s="60">
        <f>IF(L52=1,H52*L1,0)</f>
        <v>13.24730552</v>
      </c>
      <c r="N52" s="106">
        <f t="shared" si="3"/>
        <v>1.676874116</v>
      </c>
      <c r="O52" s="61"/>
      <c r="P52" s="50"/>
    </row>
    <row r="53">
      <c r="A53" s="73">
        <v>52.0</v>
      </c>
      <c r="B53" s="63" t="s">
        <v>140</v>
      </c>
      <c r="C53" s="63">
        <v>56.0</v>
      </c>
      <c r="D53" s="75">
        <f>IFERROR(__xludf.DUMMYFUNCTION("GOOGLEFINANCE(B53)"),15.34)</f>
        <v>15.34</v>
      </c>
      <c r="E53" s="27">
        <f t="shared" si="1"/>
        <v>859.04</v>
      </c>
      <c r="F53" s="24">
        <f>E53/E102</f>
        <v>0.0212212233</v>
      </c>
      <c r="G53" s="24">
        <f>IFS(J53="Grupo 0",0,J53="Grupo 1",K53*H105/100,J53="Grupo 2",K53*I105/100,J53="Grupo 3",K53*J105/100,J53="Grupo 4",K53*K105/100)</f>
        <v>0.02571428571</v>
      </c>
      <c r="H53" s="129">
        <f>IF(L53=1,I53/I102,0)</f>
        <v>0.03232257323</v>
      </c>
      <c r="I53" s="130">
        <f>IF(L53=1,C102*G53-E53,0)</f>
        <v>295.756124</v>
      </c>
      <c r="J53" s="85" t="s">
        <v>35</v>
      </c>
      <c r="K53" s="135">
        <f>IF(Balanceamentos!AV37&gt;0,Balanceamentos!AV37,0)</f>
        <v>9</v>
      </c>
      <c r="L53" s="132">
        <f>IF(G53&gt;E53/C102,1,0)</f>
        <v>1</v>
      </c>
      <c r="M53" s="26">
        <f>IF(L53=1,H53*L1,0)</f>
        <v>143.1407792</v>
      </c>
      <c r="N53" s="133">
        <f t="shared" si="3"/>
        <v>9.331211158</v>
      </c>
      <c r="O53" s="61"/>
      <c r="P53" s="50"/>
    </row>
    <row r="54">
      <c r="A54" s="51">
        <v>53.0</v>
      </c>
      <c r="B54" s="52" t="s">
        <v>141</v>
      </c>
      <c r="C54" s="52">
        <v>25.0</v>
      </c>
      <c r="D54" s="71">
        <f>IFERROR(__xludf.DUMMYFUNCTION("GOOGLEFINANCE(B54)"),13.1)</f>
        <v>13.1</v>
      </c>
      <c r="E54" s="54">
        <f t="shared" si="1"/>
        <v>327.5</v>
      </c>
      <c r="F54" s="55">
        <f>E54/E102</f>
        <v>0.008090369052</v>
      </c>
      <c r="G54" s="55">
        <f>IFS(J54="Grupo 0",0,J54="Grupo 1",K54*H105/100,J54="Grupo 2",K54*I105/100,J54="Grupo 3",K54*J105/100,J54="Grupo 4",K54*K105/100)</f>
        <v>0.009459459459</v>
      </c>
      <c r="H54" s="101">
        <f>IF(L54=1,I54/I102,0)</f>
        <v>0.010635069</v>
      </c>
      <c r="I54" s="102">
        <f>IF(L54=1,C102*G54-E54,0)</f>
        <v>97.31238795</v>
      </c>
      <c r="J54" s="84" t="s">
        <v>41</v>
      </c>
      <c r="K54" s="134">
        <f>IF(Balanceamentos!AW37&gt;0,Balanceamentos!AW37,0)</f>
        <v>7</v>
      </c>
      <c r="L54" s="128">
        <f>IF(G54&gt;E54/C102,1,0)</f>
        <v>1</v>
      </c>
      <c r="M54" s="60">
        <f>IF(L54=1,H54*L1,0)</f>
        <v>47.0974898</v>
      </c>
      <c r="N54" s="106">
        <f t="shared" si="3"/>
        <v>3.595228229</v>
      </c>
      <c r="O54" s="61"/>
      <c r="P54" s="50"/>
    </row>
    <row r="55">
      <c r="A55" s="73">
        <v>54.0</v>
      </c>
      <c r="B55" s="63" t="s">
        <v>142</v>
      </c>
      <c r="C55" s="63">
        <v>25.0</v>
      </c>
      <c r="D55" s="75">
        <f>IFERROR(__xludf.DUMMYFUNCTION("GOOGLEFINANCE(B55)"),37.02)</f>
        <v>37.02</v>
      </c>
      <c r="E55" s="27">
        <f t="shared" si="1"/>
        <v>925.5</v>
      </c>
      <c r="F55" s="24">
        <f>E55/E102</f>
        <v>0.02286301239</v>
      </c>
      <c r="G55" s="24">
        <f>IFS(J55="Grupo 0",0,J55="Grupo 1",K55*H105/100,J55="Grupo 2",K55*I105/100,J55="Grupo 3",K55*J105/100,J55="Grupo 4",K55*K105/100)</f>
        <v>0.03142857143</v>
      </c>
      <c r="H55" s="129">
        <f>IF(L55=1,I55/I102,0)</f>
        <v>0.05310491387</v>
      </c>
      <c r="I55" s="130">
        <f>IF(L55=1,C102*G55-E55,0)</f>
        <v>485.9174849</v>
      </c>
      <c r="J55" s="85" t="s">
        <v>35</v>
      </c>
      <c r="K55" s="135">
        <f>IF(Balanceamentos!AX37&gt;0,Balanceamentos!AX37,0)</f>
        <v>11</v>
      </c>
      <c r="L55" s="132">
        <f>IF(G55&gt;E55/C102,1,0)</f>
        <v>1</v>
      </c>
      <c r="M55" s="26">
        <f>IF(L55=1,H55*L1,0)</f>
        <v>235.1755441</v>
      </c>
      <c r="N55" s="133">
        <f t="shared" si="3"/>
        <v>6.352661916</v>
      </c>
      <c r="O55" s="61"/>
      <c r="P55" s="50"/>
    </row>
    <row r="56">
      <c r="A56" s="51">
        <v>55.0</v>
      </c>
      <c r="B56" s="52" t="s">
        <v>143</v>
      </c>
      <c r="C56" s="52">
        <v>32.0</v>
      </c>
      <c r="D56" s="71">
        <f>IFERROR(__xludf.DUMMYFUNCTION("GOOGLEFINANCE(B56)"),9.67)</f>
        <v>9.67</v>
      </c>
      <c r="E56" s="54">
        <f t="shared" si="1"/>
        <v>309.44</v>
      </c>
      <c r="F56" s="55">
        <f>E56/E102</f>
        <v>0.007644225342</v>
      </c>
      <c r="G56" s="55">
        <f>IFS(J56="Grupo 0",0,J56="Grupo 1",K56*H105/100,J56="Grupo 2",K56*I105/100,J56="Grupo 3",K56*J105/100,J56="Grupo 4",K56*K105/100)</f>
        <v>0.01216216216</v>
      </c>
      <c r="H56" s="101">
        <f>IF(L56=1,I56/I102,0)</f>
        <v>0.02587362739</v>
      </c>
      <c r="I56" s="102">
        <f>IF(L56=1,C102*G56-E56,0)</f>
        <v>236.7473559</v>
      </c>
      <c r="J56" s="84" t="s">
        <v>41</v>
      </c>
      <c r="K56" s="134">
        <f>IF(Balanceamentos!AY37&gt;0,Balanceamentos!AY37,0)</f>
        <v>9</v>
      </c>
      <c r="L56" s="128">
        <f>IF(G56&gt;E56/C102,1,0)</f>
        <v>1</v>
      </c>
      <c r="M56" s="60">
        <f>IF(L56=1,H56*L1,0)</f>
        <v>114.5815699</v>
      </c>
      <c r="N56" s="106">
        <f t="shared" si="3"/>
        <v>11.84917993</v>
      </c>
      <c r="O56" s="61"/>
      <c r="P56" s="50"/>
    </row>
    <row r="57">
      <c r="A57" s="73">
        <v>56.0</v>
      </c>
      <c r="B57" s="63" t="s">
        <v>144</v>
      </c>
      <c r="C57" s="63">
        <v>6.0</v>
      </c>
      <c r="D57" s="75">
        <f>IFERROR(__xludf.DUMMYFUNCTION("GOOGLEFINANCE(B57)"),28.1)</f>
        <v>28.1</v>
      </c>
      <c r="E57" s="27">
        <f t="shared" si="1"/>
        <v>168.6</v>
      </c>
      <c r="F57" s="24">
        <f>E57/E102</f>
        <v>0.004164996098</v>
      </c>
      <c r="G57" s="24">
        <f>IFS(J57="Grupo 0",0,J57="Grupo 1",K57*H105/100,J57="Grupo 2",K57*I105/100,J57="Grupo 3",K57*J105/100,J57="Grupo 4",K57*K105/100)</f>
        <v>0.004054054054</v>
      </c>
      <c r="H57" s="129">
        <f>IF(L57=1,I57/I102,0)</f>
        <v>0.001471283449</v>
      </c>
      <c r="I57" s="130">
        <f>IF(L57=1,C102*G57-E57,0)</f>
        <v>13.46245198</v>
      </c>
      <c r="J57" s="85" t="s">
        <v>41</v>
      </c>
      <c r="K57" s="135">
        <f>IF(Balanceamentos!AZ37&gt;0,Balanceamentos!AZ37,0)</f>
        <v>3</v>
      </c>
      <c r="L57" s="132">
        <f>IF(G57&gt;E57/C102,1,0)</f>
        <v>1</v>
      </c>
      <c r="M57" s="26">
        <f>IF(L57=1,H57*L1,0)</f>
        <v>6.51559075</v>
      </c>
      <c r="N57" s="133">
        <f t="shared" si="3"/>
        <v>0.231871557</v>
      </c>
      <c r="O57" s="61"/>
      <c r="P57" s="50"/>
    </row>
    <row r="58">
      <c r="A58" s="51">
        <v>57.0</v>
      </c>
      <c r="B58" s="52" t="s">
        <v>145</v>
      </c>
      <c r="C58" s="52">
        <v>6.0</v>
      </c>
      <c r="D58" s="71">
        <f>IFERROR(__xludf.DUMMYFUNCTION("GOOGLEFINANCE(B58)"),20.61)</f>
        <v>20.61</v>
      </c>
      <c r="E58" s="54">
        <f t="shared" si="1"/>
        <v>123.66</v>
      </c>
      <c r="F58" s="55">
        <f>E58/E102</f>
        <v>0.00305482454</v>
      </c>
      <c r="G58" s="55">
        <f>IFS(J58="Grupo 0",0,J58="Grupo 1",K58*H105/100,J58="Grupo 2",K58*I105/100,J58="Grupo 3",K58*J105/100,J58="Grupo 4",K58*K105/100)</f>
        <v>0.004054054054</v>
      </c>
      <c r="H58" s="101">
        <f>IF(L58=1,I58/I102,0)</f>
        <v>0.006382682819</v>
      </c>
      <c r="I58" s="102">
        <f>IF(L58=1,C102*G58-E58,0)</f>
        <v>58.40245198</v>
      </c>
      <c r="J58" s="84" t="s">
        <v>41</v>
      </c>
      <c r="K58" s="134">
        <f>IF(Balanceamentos!BA37&gt;0,Balanceamentos!BA37,0)</f>
        <v>3</v>
      </c>
      <c r="L58" s="128">
        <f>IF(G58&gt;E58/C102,1,0)</f>
        <v>1</v>
      </c>
      <c r="M58" s="60">
        <f>IF(L58=1,H58*L1,0)</f>
        <v>28.26576291</v>
      </c>
      <c r="N58" s="106">
        <f t="shared" si="3"/>
        <v>1.371458657</v>
      </c>
      <c r="O58" s="61"/>
      <c r="P58" s="50"/>
    </row>
    <row r="59">
      <c r="A59" s="73">
        <v>58.0</v>
      </c>
      <c r="B59" s="63" t="s">
        <v>146</v>
      </c>
      <c r="C59" s="63">
        <v>31.0</v>
      </c>
      <c r="D59" s="75">
        <f>IFERROR(__xludf.DUMMYFUNCTION("GOOGLEFINANCE(B59)"),8.12)</f>
        <v>8.12</v>
      </c>
      <c r="E59" s="27">
        <f t="shared" si="1"/>
        <v>251.72</v>
      </c>
      <c r="F59" s="24">
        <f>E59/E102</f>
        <v>0.006218344115</v>
      </c>
      <c r="G59" s="24">
        <f>IFS(J59="Grupo 0",0,J59="Grupo 1",K59*H105/100,J59="Grupo 2",K59*I105/100,J59="Grupo 3",K59*J105/100,J59="Grupo 4",K59*K105/100)</f>
        <v>0.009459459459</v>
      </c>
      <c r="H59" s="129">
        <f>IF(L59=1,I59/I102,0)</f>
        <v>0.01891690799</v>
      </c>
      <c r="I59" s="130">
        <f>IF(L59=1,C102*G59-E59,0)</f>
        <v>173.092388</v>
      </c>
      <c r="J59" s="85" t="s">
        <v>41</v>
      </c>
      <c r="K59" s="135">
        <f>IF(Balanceamentos!BB37&gt;0,Balanceamentos!BB37,0)</f>
        <v>7</v>
      </c>
      <c r="L59" s="132">
        <f>IF(G59&gt;E59/C102,1,0)</f>
        <v>1</v>
      </c>
      <c r="M59" s="26">
        <f>IF(L59=1,H59*L1,0)</f>
        <v>83.77368131</v>
      </c>
      <c r="N59" s="133">
        <f t="shared" si="3"/>
        <v>10.31695583</v>
      </c>
      <c r="O59" s="61"/>
      <c r="P59" s="50"/>
    </row>
    <row r="60">
      <c r="A60" s="51">
        <v>59.0</v>
      </c>
      <c r="B60" s="52"/>
      <c r="C60" s="52"/>
      <c r="D60" s="71"/>
      <c r="E60" s="54">
        <f t="shared" si="1"/>
        <v>0</v>
      </c>
      <c r="F60" s="55">
        <f>E60/E102</f>
        <v>0</v>
      </c>
      <c r="G60" s="55">
        <f>IFS(J60="Grupo 0",0,J60="Grupo 1",K60*H105/100,J60="Grupo 2",K60*I105/100,J60="Grupo 3",K60*J105/100,J60="Grupo 4",K60*K105/100)</f>
        <v>0</v>
      </c>
      <c r="H60" s="101">
        <f>IF(L60=1,I60/I102,0)</f>
        <v>0</v>
      </c>
      <c r="I60" s="102">
        <f>IF(L60=1,C102*G60-E60,0)</f>
        <v>0</v>
      </c>
      <c r="J60" s="84" t="s">
        <v>36</v>
      </c>
      <c r="K60" s="134">
        <f>IF(Balanceamentos!BC37&gt;0,Balanceamentos!BC37,0)</f>
        <v>7</v>
      </c>
      <c r="L60" s="128">
        <f>IF(G60&gt;E60/C102,1,0)</f>
        <v>0</v>
      </c>
      <c r="M60" s="60">
        <f>IF(L60=1,H60*L1,0)</f>
        <v>0</v>
      </c>
      <c r="N60" s="106">
        <f t="shared" si="3"/>
        <v>0</v>
      </c>
      <c r="O60" s="61"/>
      <c r="P60" s="50"/>
    </row>
    <row r="61">
      <c r="A61" s="73">
        <v>60.0</v>
      </c>
      <c r="B61" s="63" t="s">
        <v>147</v>
      </c>
      <c r="C61" s="63">
        <v>41.0</v>
      </c>
      <c r="D61" s="75">
        <f>IFERROR(__xludf.DUMMYFUNCTION("GOOGLEFINANCE(B61)"),18.18)</f>
        <v>18.18</v>
      </c>
      <c r="E61" s="27">
        <f t="shared" si="1"/>
        <v>745.38</v>
      </c>
      <c r="F61" s="24">
        <f>E61/E102</f>
        <v>0.01841343293</v>
      </c>
      <c r="G61" s="24">
        <f>IFS(J61="Grupo 0",0,J61="Grupo 1",K61*H105/100,J61="Grupo 2",K61*I105/100,J61="Grupo 3",K61*J105/100,J61="Grupo 4",K61*K105/100)</f>
        <v>0.02</v>
      </c>
      <c r="H61" s="129">
        <f>IF(L61=1,I61/I102,0)</f>
        <v>0.01669862268</v>
      </c>
      <c r="I61" s="130">
        <f>IF(L61=1,C102*G61-E61,0)</f>
        <v>152.7947631</v>
      </c>
      <c r="J61" s="85" t="s">
        <v>35</v>
      </c>
      <c r="K61" s="135">
        <f>IF(Balanceamentos!BD37&gt;0,Balanceamentos!BD37,0)</f>
        <v>7</v>
      </c>
      <c r="L61" s="132">
        <f>IF(G61&gt;E61/C102,1,0)</f>
        <v>1</v>
      </c>
      <c r="M61" s="26">
        <f>IF(L61=1,H61*L1,0)</f>
        <v>73.94998672</v>
      </c>
      <c r="N61" s="133">
        <f t="shared" si="3"/>
        <v>4.067656035</v>
      </c>
      <c r="O61" s="61"/>
      <c r="P61" s="50"/>
    </row>
    <row r="62">
      <c r="A62" s="51">
        <v>61.0</v>
      </c>
      <c r="B62" s="52" t="s">
        <v>148</v>
      </c>
      <c r="C62" s="52">
        <v>17.0</v>
      </c>
      <c r="D62" s="71">
        <f>IFERROR(__xludf.DUMMYFUNCTION("GOOGLEFINANCE(B62)"),21.66)</f>
        <v>21.66</v>
      </c>
      <c r="E62" s="54">
        <f t="shared" si="1"/>
        <v>368.22</v>
      </c>
      <c r="F62" s="55">
        <f>E62/E102</f>
        <v>0.00909629219</v>
      </c>
      <c r="G62" s="55">
        <f>IFS(J62="Grupo 0",0,J62="Grupo 1",K62*H105/100,J62="Grupo 2",K62*I105/100,J62="Grupo 3",K62*J105/100,J62="Grupo 4",K62*K105/100)</f>
        <v>0.01428571429</v>
      </c>
      <c r="H62" s="101">
        <f>IF(L62=1,I62/I102,0)</f>
        <v>0.02987204049</v>
      </c>
      <c r="I62" s="102">
        <f>IF(L62=1,C102*G62-E62,0)</f>
        <v>273.3334022</v>
      </c>
      <c r="J62" s="84" t="s">
        <v>35</v>
      </c>
      <c r="K62" s="134">
        <f>IF(Balanceamentos!BE37&gt;0,Balanceamentos!BE37,0)</f>
        <v>5</v>
      </c>
      <c r="L62" s="128">
        <f>IF(G62&gt;E62/C102,1,0)</f>
        <v>1</v>
      </c>
      <c r="M62" s="60">
        <f>IF(L62=1,H62*L1,0)</f>
        <v>132.2885749</v>
      </c>
      <c r="N62" s="106">
        <f t="shared" si="3"/>
        <v>6.107505767</v>
      </c>
      <c r="O62" s="61"/>
      <c r="P62" s="50"/>
    </row>
    <row r="63">
      <c r="A63" s="73">
        <v>62.0</v>
      </c>
      <c r="B63" s="63" t="s">
        <v>149</v>
      </c>
      <c r="C63" s="63">
        <v>69.0</v>
      </c>
      <c r="D63" s="75">
        <f>IFERROR(__xludf.DUMMYFUNCTION("GOOGLEFINANCE(""BVMF:ABEV3"")"),14.74)</f>
        <v>14.74</v>
      </c>
      <c r="E63" s="27">
        <f t="shared" si="1"/>
        <v>1017.06</v>
      </c>
      <c r="F63" s="24">
        <f>E63/E102</f>
        <v>0.02512485725</v>
      </c>
      <c r="G63" s="24">
        <f>IFS(J63="Grupo 0",0,J63="Grupo 1",K63*H105/100,J63="Grupo 2",K63*I105/100,J63="Grupo 3",K63*J105/100,J63="Grupo 4",K63*K105/100)</f>
        <v>0.02571428571</v>
      </c>
      <c r="H63" s="129">
        <f>IF(L63=1,I63/I102,0)</f>
        <v>0.01505289525</v>
      </c>
      <c r="I63" s="130">
        <f>IF(L63=1,C102*G63-E63,0)</f>
        <v>137.736124</v>
      </c>
      <c r="J63" s="85" t="s">
        <v>35</v>
      </c>
      <c r="K63" s="135">
        <f>IF(Balanceamentos!BF37&gt;0,Balanceamentos!BF37,0)</f>
        <v>9</v>
      </c>
      <c r="L63" s="132">
        <f>IF(G63&gt;E63/C102,1,0)</f>
        <v>1</v>
      </c>
      <c r="M63" s="26">
        <f>IF(L63=1,H63*L1,0)</f>
        <v>66.66186938</v>
      </c>
      <c r="N63" s="133">
        <f t="shared" si="3"/>
        <v>4.522514883</v>
      </c>
      <c r="O63" s="61"/>
      <c r="P63" s="50"/>
    </row>
    <row r="64">
      <c r="A64" s="51">
        <v>63.0</v>
      </c>
      <c r="B64" s="52" t="s">
        <v>150</v>
      </c>
      <c r="C64" s="52">
        <v>22.0</v>
      </c>
      <c r="D64" s="71">
        <f>IFERROR(__xludf.DUMMYFUNCTION("GOOGLEFINANCE(B64)"),4.85)</f>
        <v>4.85</v>
      </c>
      <c r="E64" s="54">
        <f t="shared" si="1"/>
        <v>106.7</v>
      </c>
      <c r="F64" s="55">
        <f>E64/E102</f>
        <v>0.002635854589</v>
      </c>
      <c r="G64" s="55">
        <f>IFS(J64="Grupo 0",0,J64="Grupo 1",K64*H105/100,J64="Grupo 2",K64*I105/100,J64="Grupo 3",K64*J105/100,J64="Grupo 4",K64*K105/100)</f>
        <v>0.004487179487</v>
      </c>
      <c r="H64" s="101">
        <f>IF(L64=1,I64/I102,0)</f>
        <v>0.01036197822</v>
      </c>
      <c r="I64" s="102">
        <f>IF(L64=1,C102*G64-E64,0)</f>
        <v>94.81356864</v>
      </c>
      <c r="J64" s="84" t="s">
        <v>110</v>
      </c>
      <c r="K64" s="134">
        <f>IF(Balanceamentos!BG37&gt;0,Balanceamentos!BG37,0)</f>
        <v>7</v>
      </c>
      <c r="L64" s="128">
        <f>IF(G64&gt;E64/C102,1,0)</f>
        <v>1</v>
      </c>
      <c r="M64" s="60">
        <f>IF(L64=1,H64*L1,0)</f>
        <v>45.88810506</v>
      </c>
      <c r="N64" s="106">
        <f t="shared" si="3"/>
        <v>9.461464961</v>
      </c>
      <c r="O64" s="61"/>
      <c r="P64" s="50"/>
    </row>
    <row r="65">
      <c r="A65" s="73">
        <v>64.0</v>
      </c>
      <c r="B65" s="63" t="s">
        <v>151</v>
      </c>
      <c r="C65" s="63">
        <v>125.0</v>
      </c>
      <c r="D65" s="75">
        <f>IFERROR(__xludf.DUMMYFUNCTION("GOOGLEFINANCE(B65)"),4.57)</f>
        <v>4.57</v>
      </c>
      <c r="E65" s="27">
        <f t="shared" si="1"/>
        <v>571.25</v>
      </c>
      <c r="F65" s="24">
        <f>E65/E102</f>
        <v>0.01411182693</v>
      </c>
      <c r="G65" s="24">
        <f>IFS(J65="Grupo 0",0,J65="Grupo 1",K65*H105/100,J65="Grupo 2",K65*I105/100,J65="Grupo 3",K65*J105/100,J65="Grupo 4",K65*K105/100)</f>
        <v>0.02</v>
      </c>
      <c r="H65" s="129">
        <f>IF(L65=1,I65/I102,0)</f>
        <v>0.03572892914</v>
      </c>
      <c r="I65" s="130">
        <f>IF(L65=1,C102*G65-E65,0)</f>
        <v>326.9247631</v>
      </c>
      <c r="J65" s="85" t="s">
        <v>35</v>
      </c>
      <c r="K65" s="135">
        <f>IF(Balanceamentos!BH37&gt;0,Balanceamentos!BH37,0)</f>
        <v>7</v>
      </c>
      <c r="L65" s="132">
        <f>IF(G65&gt;E65/C102,1,0)</f>
        <v>1</v>
      </c>
      <c r="M65" s="26">
        <f>IF(L65=1,H65*L1,0)</f>
        <v>158.2258541</v>
      </c>
      <c r="N65" s="133">
        <f t="shared" si="3"/>
        <v>34.62272518</v>
      </c>
      <c r="O65" s="61"/>
      <c r="P65" s="50"/>
    </row>
    <row r="66">
      <c r="A66" s="51">
        <v>65.0</v>
      </c>
      <c r="B66" s="52" t="s">
        <v>152</v>
      </c>
      <c r="C66" s="52">
        <v>41.0</v>
      </c>
      <c r="D66" s="71">
        <f>IFERROR(__xludf.DUMMYFUNCTION("GOOGLEFINANCE(B66)"),16.33)</f>
        <v>16.33</v>
      </c>
      <c r="E66" s="54">
        <f t="shared" si="1"/>
        <v>669.53</v>
      </c>
      <c r="F66" s="55">
        <f>E66/E102</f>
        <v>0.01653967875</v>
      </c>
      <c r="G66" s="55">
        <f>IFS(J66="Grupo 0",0,J66="Grupo 1",K66*H105/100,J66="Grupo 2",K66*I105/100,J66="Grupo 3",K66*J105/100,J66="Grupo 4",K66*K105/100)</f>
        <v>0.02571428571</v>
      </c>
      <c r="H66" s="101">
        <f>IF(L66=1,I66/I102,0)</f>
        <v>0.05303372799</v>
      </c>
      <c r="I66" s="102">
        <f>IF(L66=1,C102*G66-E66,0)</f>
        <v>485.266124</v>
      </c>
      <c r="J66" s="84" t="s">
        <v>35</v>
      </c>
      <c r="K66" s="134">
        <f>IF(Balanceamentos!BI37&gt;0,Balanceamentos!BI37,0)</f>
        <v>9</v>
      </c>
      <c r="L66" s="128">
        <f>IF(G66&gt;E66/C102,1,0)</f>
        <v>1</v>
      </c>
      <c r="M66" s="60">
        <f>IF(L66=1,H66*L1,0)</f>
        <v>234.8602969</v>
      </c>
      <c r="N66" s="106">
        <f t="shared" si="3"/>
        <v>14.38213698</v>
      </c>
      <c r="O66" s="61"/>
      <c r="P66" s="50"/>
    </row>
    <row r="67">
      <c r="A67" s="73">
        <v>66.0</v>
      </c>
      <c r="B67" s="63" t="s">
        <v>153</v>
      </c>
      <c r="C67" s="63">
        <v>11.0</v>
      </c>
      <c r="D67" s="75">
        <f>IFERROR(__xludf.DUMMYFUNCTION("GOOGLEFINANCE(B67)"),24.69)</f>
        <v>24.69</v>
      </c>
      <c r="E67" s="27">
        <f t="shared" si="1"/>
        <v>271.59</v>
      </c>
      <c r="F67" s="24">
        <f>E67/E102</f>
        <v>0.00670920101</v>
      </c>
      <c r="G67" s="24">
        <f>IFS(J67="Grupo 0",0,J67="Grupo 1",K67*H105/100,J67="Grupo 2",K67*I105/100,J67="Grupo 3",K67*J105/100,J67="Grupo 4",K67*K105/100)</f>
        <v>0.009459459459</v>
      </c>
      <c r="H67" s="129">
        <f>IF(L67=1,I67/I102,0)</f>
        <v>0.01674535691</v>
      </c>
      <c r="I67" s="130">
        <f>IF(L67=1,C102*G67-E67,0)</f>
        <v>153.222388</v>
      </c>
      <c r="J67" s="85" t="s">
        <v>41</v>
      </c>
      <c r="K67" s="135">
        <f>IF(Balanceamentos!BJ37&gt;0,Balanceamentos!BJ37,0)</f>
        <v>7</v>
      </c>
      <c r="L67" s="132">
        <f>IF(G67&gt;E67/C102,1,0)</f>
        <v>1</v>
      </c>
      <c r="M67" s="26">
        <f>IF(L67=1,H67*L1,0)</f>
        <v>74.15694965</v>
      </c>
      <c r="N67" s="133">
        <f t="shared" si="3"/>
        <v>3.003521655</v>
      </c>
      <c r="O67" s="61"/>
      <c r="P67" s="50"/>
    </row>
    <row r="68">
      <c r="A68" s="51">
        <v>67.0</v>
      </c>
      <c r="B68" s="52" t="s">
        <v>154</v>
      </c>
      <c r="C68" s="52">
        <v>13.0</v>
      </c>
      <c r="D68" s="71">
        <f>IFERROR(__xludf.DUMMYFUNCTION("GOOGLEFINANCE(B68)"),34.32)</f>
        <v>34.32</v>
      </c>
      <c r="E68" s="54">
        <f t="shared" si="1"/>
        <v>446.16</v>
      </c>
      <c r="F68" s="55">
        <f>E68/E102</f>
        <v>0.01102167651</v>
      </c>
      <c r="G68" s="55">
        <f>IFS(J68="Grupo 0",0,J68="Grupo 1",K68*H105/100,J68="Grupo 2",K68*I105/100,J68="Grupo 3",K68*J105/100,J68="Grupo 4",K68*K105/100)</f>
        <v>0.0108</v>
      </c>
      <c r="H68" s="101">
        <f>IF(L68=1,I68/I102,0)</f>
        <v>0.004246313719</v>
      </c>
      <c r="I68" s="102">
        <f>IF(L68=1,C102*G68-E68,0)</f>
        <v>38.85437208</v>
      </c>
      <c r="J68" s="84" t="s">
        <v>38</v>
      </c>
      <c r="K68" s="134">
        <f>IF(Balanceamentos!BK37&gt;0,Balanceamentos!BK37,0)</f>
        <v>9</v>
      </c>
      <c r="L68" s="128">
        <f>IF(G68&gt;E68/C102,1,0)</f>
        <v>1</v>
      </c>
      <c r="M68" s="60">
        <f>IF(L68=1,H68*L1,0)</f>
        <v>18.80483493</v>
      </c>
      <c r="N68" s="106">
        <f t="shared" si="3"/>
        <v>0.5479264258</v>
      </c>
      <c r="O68" s="61"/>
      <c r="P68" s="50"/>
    </row>
    <row r="69">
      <c r="A69" s="73">
        <v>68.0</v>
      </c>
      <c r="B69" s="63" t="s">
        <v>155</v>
      </c>
      <c r="C69" s="63">
        <v>9.0</v>
      </c>
      <c r="D69" s="75">
        <f>IFERROR(__xludf.DUMMYFUNCTION("GOOGLEFINANCE(B69)"),27.6)</f>
        <v>27.6</v>
      </c>
      <c r="E69" s="27">
        <f t="shared" si="1"/>
        <v>248.4</v>
      </c>
      <c r="F69" s="24">
        <f>E69/E102</f>
        <v>0.006136328771</v>
      </c>
      <c r="G69" s="24">
        <f>IFS(J69="Grupo 0",0,J69="Grupo 1",K69*H105/100,J69="Grupo 2",K69*I105/100,J69="Grupo 3",K69*J105/100,J69="Grupo 4",K69*K105/100)</f>
        <v>0.008571428571</v>
      </c>
      <c r="H69" s="129">
        <f>IF(L69=1,I69/I102,0)</f>
        <v>0.01492130356</v>
      </c>
      <c r="I69" s="130">
        <f>IF(L69=1,C102*G69-E69,0)</f>
        <v>136.5320413</v>
      </c>
      <c r="J69" s="85" t="s">
        <v>35</v>
      </c>
      <c r="K69" s="135">
        <f>IF(Balanceamentos!BL37&gt;0,Balanceamentos!BL37,0)</f>
        <v>3</v>
      </c>
      <c r="L69" s="132">
        <f>IF(G69&gt;E69/C102,1,0)</f>
        <v>1</v>
      </c>
      <c r="M69" s="26">
        <f>IF(L69=1,H69*L1,0)</f>
        <v>66.07911448</v>
      </c>
      <c r="N69" s="133">
        <f t="shared" si="3"/>
        <v>2.394170815</v>
      </c>
      <c r="O69" s="61"/>
      <c r="P69" s="50"/>
    </row>
    <row r="70">
      <c r="A70" s="51">
        <v>69.0</v>
      </c>
      <c r="B70" s="52" t="s">
        <v>156</v>
      </c>
      <c r="C70" s="52">
        <v>43.0</v>
      </c>
      <c r="D70" s="71">
        <f>IFERROR(__xludf.DUMMYFUNCTION("GOOGLEFINANCE(""BVMF:LREN3"")"),15.09)</f>
        <v>15.09</v>
      </c>
      <c r="E70" s="54">
        <f t="shared" si="1"/>
        <v>648.87</v>
      </c>
      <c r="F70" s="55">
        <f>E70/E102</f>
        <v>0.01602930616</v>
      </c>
      <c r="G70" s="55">
        <f>IFS(J70="Grupo 0",0,J70="Grupo 1",K70*H105/100,J70="Grupo 2",K70*I105/100,J70="Grupo 3",K70*J105/100,J70="Grupo 4",K70*K105/100)</f>
        <v>0.02</v>
      </c>
      <c r="H70" s="101">
        <f>IF(L70=1,I70/I102,0)</f>
        <v>0.02724600037</v>
      </c>
      <c r="I70" s="102">
        <f>IF(L70=1,C102*G70-E70,0)</f>
        <v>249.3047631</v>
      </c>
      <c r="J70" s="84" t="s">
        <v>35</v>
      </c>
      <c r="K70" s="134">
        <f>IF(Balanceamentos!BM37&gt;0,Balanceamentos!BM37,0)</f>
        <v>7</v>
      </c>
      <c r="L70" s="128">
        <f>IF(G70&gt;E70/C102,1,0)</f>
        <v>1</v>
      </c>
      <c r="M70" s="60">
        <f>IF(L70=1,H70*L1,0)</f>
        <v>120.6591348</v>
      </c>
      <c r="N70" s="106">
        <f t="shared" si="3"/>
        <v>7.995966522</v>
      </c>
      <c r="O70" s="61"/>
      <c r="P70" s="50"/>
    </row>
    <row r="71">
      <c r="A71" s="73">
        <v>70.0</v>
      </c>
      <c r="B71" s="63" t="s">
        <v>157</v>
      </c>
      <c r="C71" s="63">
        <v>11.0</v>
      </c>
      <c r="D71" s="75">
        <f>IFERROR(__xludf.DUMMYFUNCTION("GOOGLEFINANCE(B71)"),8.9)</f>
        <v>8.9</v>
      </c>
      <c r="E71" s="27">
        <f t="shared" si="1"/>
        <v>97.9</v>
      </c>
      <c r="F71" s="24">
        <f>E71/E102</f>
        <v>0.00241846452</v>
      </c>
      <c r="G71" s="24">
        <f>IFS(J71="Grupo 0",0,J71="Grupo 1",K71*H105/100,J71="Grupo 2",K71*I105/100,J71="Grupo 3",K71*J105/100,J71="Grupo 4",K71*K105/100)</f>
        <v>0.001923076923</v>
      </c>
      <c r="H71" s="129">
        <f>IF(L71=1,I71/I102,0)</f>
        <v>0</v>
      </c>
      <c r="I71" s="130">
        <f>IF(L71=1,C102*G71-E71,0)</f>
        <v>0</v>
      </c>
      <c r="J71" s="85" t="s">
        <v>110</v>
      </c>
      <c r="K71" s="135">
        <f>IF(Balanceamentos!BN37&gt;0,Balanceamentos!BN37,0)</f>
        <v>3</v>
      </c>
      <c r="L71" s="132">
        <f>IF(G71&gt;E71/C102,1,0)</f>
        <v>0</v>
      </c>
      <c r="M71" s="26">
        <f>IF(L71=1,H71*L1,0)</f>
        <v>0</v>
      </c>
      <c r="N71" s="133">
        <f t="shared" si="3"/>
        <v>0</v>
      </c>
      <c r="O71" s="61"/>
      <c r="P71" s="50"/>
    </row>
    <row r="72">
      <c r="A72" s="51">
        <v>71.0</v>
      </c>
      <c r="B72" s="52" t="s">
        <v>158</v>
      </c>
      <c r="C72" s="52">
        <v>10.0</v>
      </c>
      <c r="D72" s="71">
        <f>IFERROR(__xludf.DUMMYFUNCTION("GOOGLEFINANCE(B72)"),14.84)</f>
        <v>14.84</v>
      </c>
      <c r="E72" s="54">
        <f t="shared" si="1"/>
        <v>148.4</v>
      </c>
      <c r="F72" s="55">
        <f>E72/E102</f>
        <v>0.003665987076</v>
      </c>
      <c r="G72" s="55">
        <f>IFS(J72="Grupo 0",0,J72="Grupo 1",K72*H105/100,J72="Grupo 2",K72*I105/100,J72="Grupo 3",K72*J105/100,J72="Grupo 4",K72*K105/100)</f>
        <v>0.004054054054</v>
      </c>
      <c r="H72" s="101">
        <f>IF(L72=1,I72/I102,0)</f>
        <v>0.003678899543</v>
      </c>
      <c r="I72" s="102">
        <f>IF(L72=1,C102*G72-E72,0)</f>
        <v>33.66245198</v>
      </c>
      <c r="J72" s="84" t="s">
        <v>41</v>
      </c>
      <c r="K72" s="134">
        <f>IF(Balanceamentos!BO37&gt;0,Balanceamentos!BO37,0)</f>
        <v>3</v>
      </c>
      <c r="L72" s="128">
        <f>IF(G72&gt;E72/C102,1,0)</f>
        <v>1</v>
      </c>
      <c r="M72" s="60">
        <f>IF(L72=1,H72*L1,0)</f>
        <v>16.29203663</v>
      </c>
      <c r="N72" s="106">
        <f t="shared" si="3"/>
        <v>1.097846134</v>
      </c>
      <c r="O72" s="61"/>
      <c r="P72" s="50"/>
    </row>
    <row r="73">
      <c r="A73" s="73">
        <v>72.0</v>
      </c>
      <c r="B73" s="63" t="s">
        <v>159</v>
      </c>
      <c r="C73" s="63">
        <v>7.0</v>
      </c>
      <c r="D73" s="75">
        <f>IFERROR(__xludf.DUMMYFUNCTION("GOOGLEFINANCE(B73)"),35.24)</f>
        <v>35.24</v>
      </c>
      <c r="E73" s="27">
        <f t="shared" si="1"/>
        <v>246.68</v>
      </c>
      <c r="F73" s="24">
        <f>E73/E102</f>
        <v>0.006093838894</v>
      </c>
      <c r="G73" s="24">
        <f>IFS(J73="Grupo 0",0,J73="Grupo 1",K73*H105/100,J73="Grupo 2",K73*I105/100,J73="Grupo 3",K73*J105/100,J73="Grupo 4",K73*K105/100)</f>
        <v>0.006756756757</v>
      </c>
      <c r="H73" s="129">
        <f>IF(L73=1,I73/I102,0)</f>
        <v>0.006202900683</v>
      </c>
      <c r="I73" s="130">
        <f>IF(L73=1,C102*G73-E73,0)</f>
        <v>56.75741997</v>
      </c>
      <c r="J73" s="85" t="s">
        <v>41</v>
      </c>
      <c r="K73" s="135">
        <f>IF(Balanceamentos!BP37&gt;0,Balanceamentos!BP37,0)</f>
        <v>5</v>
      </c>
      <c r="L73" s="132">
        <f>IF(G73&gt;E73/C102,1,0)</f>
        <v>1</v>
      </c>
      <c r="M73" s="26">
        <f>IF(L73=1,H73*L1,0)</f>
        <v>27.46959626</v>
      </c>
      <c r="N73" s="133">
        <f t="shared" si="3"/>
        <v>0.7795004614</v>
      </c>
      <c r="O73" s="61"/>
      <c r="P73" s="50"/>
    </row>
    <row r="74">
      <c r="A74" s="51">
        <v>73.0</v>
      </c>
      <c r="B74" s="52" t="s">
        <v>160</v>
      </c>
      <c r="C74" s="52">
        <v>17.0</v>
      </c>
      <c r="D74" s="71">
        <f>IFERROR(__xludf.DUMMYFUNCTION("GOOGLEFINANCE(B74)"),13.51)</f>
        <v>13.51</v>
      </c>
      <c r="E74" s="54">
        <f t="shared" si="1"/>
        <v>229.67</v>
      </c>
      <c r="F74" s="55">
        <f>E74/E102</f>
        <v>0.005673633771</v>
      </c>
      <c r="G74" s="55">
        <f>IFS(J74="Grupo 0",0,J74="Grupo 1",K74*H105/100,J74="Grupo 2",K74*I105/100,J74="Grupo 3",K74*J105/100,J74="Grupo 4",K74*K105/100)</f>
        <v>0.006756756757</v>
      </c>
      <c r="H74" s="101">
        <f>IF(L74=1,I74/I102,0)</f>
        <v>0.008061888295</v>
      </c>
      <c r="I74" s="102">
        <f>IF(L74=1,C102*G74-E74,0)</f>
        <v>73.76741997</v>
      </c>
      <c r="J74" s="84" t="s">
        <v>41</v>
      </c>
      <c r="K74" s="134">
        <f>IF(Balanceamentos!BQ37&gt;0,Balanceamentos!BQ37,0)</f>
        <v>5</v>
      </c>
      <c r="L74" s="128">
        <f>IF(G74&gt;E74/C102,1,0)</f>
        <v>1</v>
      </c>
      <c r="M74" s="60">
        <f>IF(L74=1,H74*L1,0)</f>
        <v>35.70213806</v>
      </c>
      <c r="N74" s="106">
        <f t="shared" si="3"/>
        <v>2.642645304</v>
      </c>
      <c r="O74" s="61"/>
      <c r="P74" s="50"/>
    </row>
    <row r="75">
      <c r="A75" s="73">
        <v>74.0</v>
      </c>
      <c r="B75" s="63" t="s">
        <v>161</v>
      </c>
      <c r="C75" s="63">
        <v>11.0</v>
      </c>
      <c r="D75" s="75">
        <f>IFERROR(__xludf.DUMMYFUNCTION("GOOGLEFINANCE(B75)"),13.9)</f>
        <v>13.9</v>
      </c>
      <c r="E75" s="27">
        <f t="shared" si="1"/>
        <v>152.9</v>
      </c>
      <c r="F75" s="24">
        <f>E75/E102</f>
        <v>0.003777152452</v>
      </c>
      <c r="G75" s="24">
        <f>IFS(J75="Grupo 0",0,J75="Grupo 1",K75*H105/100,J75="Grupo 2",K75*I105/100,J75="Grupo 3",K75*J105/100,J75="Grupo 4",K75*K105/100)</f>
        <v>0.004487179487</v>
      </c>
      <c r="H75" s="129">
        <f>IF(L75=1,I75/I102,0)</f>
        <v>0.005312876066</v>
      </c>
      <c r="I75" s="130">
        <f>IF(L75=1,C102*G75-E75,0)</f>
        <v>48.61356864</v>
      </c>
      <c r="J75" s="85" t="s">
        <v>110</v>
      </c>
      <c r="K75" s="135">
        <f>IF(Balanceamentos!BR37&gt;0,Balanceamentos!BR37,0)</f>
        <v>7</v>
      </c>
      <c r="L75" s="132">
        <f>IF(G75&gt;E75/C102,1,0)</f>
        <v>1</v>
      </c>
      <c r="M75" s="26">
        <f>IF(L75=1,H75*L1,0)</f>
        <v>23.52811499</v>
      </c>
      <c r="N75" s="133">
        <f t="shared" si="3"/>
        <v>1.692670143</v>
      </c>
      <c r="O75" s="61"/>
      <c r="P75" s="50"/>
    </row>
    <row r="76">
      <c r="A76" s="51">
        <v>75.0</v>
      </c>
      <c r="B76" s="52" t="s">
        <v>162</v>
      </c>
      <c r="C76" s="52">
        <v>12.0</v>
      </c>
      <c r="D76" s="71">
        <f>IFERROR(__xludf.DUMMYFUNCTION("GOOGLEFINANCE(B76)"),4.62)</f>
        <v>4.62</v>
      </c>
      <c r="E76" s="54">
        <f t="shared" si="1"/>
        <v>55.44</v>
      </c>
      <c r="F76" s="55">
        <f>E76/E102</f>
        <v>0.001369557436</v>
      </c>
      <c r="G76" s="55">
        <f>IFS(J76="Grupo 0",0,J76="Grupo 1",K76*H105/100,J76="Grupo 2",K76*I105/100,J76="Grupo 3",K76*J105/100,J76="Grupo 4",K76*K105/100)</f>
        <v>0.001923076923</v>
      </c>
      <c r="H76" s="101">
        <f>IF(L76=1,I76/I102,0)</f>
        <v>0.003379505928</v>
      </c>
      <c r="I76" s="102">
        <f>IF(L76=1,C102*G76-E76,0)</f>
        <v>30.92295799</v>
      </c>
      <c r="J76" s="84" t="s">
        <v>110</v>
      </c>
      <c r="K76" s="134">
        <f>IF(Balanceamentos!BS37&gt;0,Balanceamentos!BS37,0)</f>
        <v>3</v>
      </c>
      <c r="L76" s="128">
        <f>IF(G76&gt;E76/C102,1,0)</f>
        <v>1</v>
      </c>
      <c r="M76" s="60">
        <f>IF(L76=1,H76*L1,0)</f>
        <v>14.96616956</v>
      </c>
      <c r="N76" s="106">
        <f t="shared" si="3"/>
        <v>3.239430641</v>
      </c>
      <c r="O76" s="61"/>
      <c r="P76" s="50"/>
    </row>
    <row r="77">
      <c r="A77" s="73">
        <v>76.0</v>
      </c>
      <c r="B77" s="63" t="s">
        <v>163</v>
      </c>
      <c r="C77" s="63">
        <v>3.0</v>
      </c>
      <c r="D77" s="75">
        <f>IFERROR(__xludf.DUMMYFUNCTION("GOOGLEFINANCE(B77)"),26.67)</f>
        <v>26.67</v>
      </c>
      <c r="E77" s="27">
        <f t="shared" si="1"/>
        <v>80.01</v>
      </c>
      <c r="F77" s="24">
        <f>E77/E102</f>
        <v>0.00197652039</v>
      </c>
      <c r="G77" s="24">
        <f>IFS(J77="Grupo 0",0,J77="Grupo 1",K77*H105/100,J77="Grupo 2",K77*I105/100,J77="Grupo 3",K77*J105/100,J77="Grupo 4",K77*K105/100)</f>
        <v>0.001923076923</v>
      </c>
      <c r="H77" s="129">
        <f>IF(L77=1,I77/I102,0)</f>
        <v>0.0006943015993</v>
      </c>
      <c r="I77" s="130">
        <f>IF(L77=1,C102*G77-E77,0)</f>
        <v>6.352957991</v>
      </c>
      <c r="J77" s="85" t="s">
        <v>110</v>
      </c>
      <c r="K77" s="135">
        <f>IF(Balanceamentos!BT37&gt;0,Balanceamentos!BT37,0)</f>
        <v>3</v>
      </c>
      <c r="L77" s="132">
        <f>IF(G77&gt;E77/C102,1,0)</f>
        <v>1</v>
      </c>
      <c r="M77" s="26">
        <f>IF(L77=1,H77*L1,0)</f>
        <v>3.074720295</v>
      </c>
      <c r="N77" s="133">
        <f t="shared" si="3"/>
        <v>0.1152876001</v>
      </c>
      <c r="O77" s="61"/>
      <c r="P77" s="50"/>
    </row>
    <row r="78">
      <c r="A78" s="51">
        <v>77.0</v>
      </c>
      <c r="B78" s="52" t="s">
        <v>164</v>
      </c>
      <c r="C78" s="52">
        <v>15.0</v>
      </c>
      <c r="D78" s="71">
        <f>IFERROR(__xludf.DUMMYFUNCTION("GOOGLEFINANCE(B78)"),14.2)</f>
        <v>14.2</v>
      </c>
      <c r="E78" s="54">
        <f t="shared" si="1"/>
        <v>213</v>
      </c>
      <c r="F78" s="55">
        <f>E78/E102</f>
        <v>0.005261827811</v>
      </c>
      <c r="G78" s="55">
        <f>IFS(J78="Grupo 0",0,J78="Grupo 1",K78*H105/100,J78="Grupo 2",K78*I105/100,J78="Grupo 3",K78*J105/100,J78="Grupo 4",K78*K105/100)</f>
        <v>0.006756756757</v>
      </c>
      <c r="H78" s="101">
        <f>IF(L78=1,I78/I102,0)</f>
        <v>0.009883718012</v>
      </c>
      <c r="I78" s="102">
        <f>IF(L78=1,C102*G78-E78,0)</f>
        <v>90.43741997</v>
      </c>
      <c r="J78" s="84" t="s">
        <v>41</v>
      </c>
      <c r="K78" s="134">
        <f>IF(Balanceamentos!BU37&gt;0,Balanceamentos!BU37,0)</f>
        <v>5</v>
      </c>
      <c r="L78" s="128">
        <f>IF(G78&gt;E78/C102,1,0)</f>
        <v>1</v>
      </c>
      <c r="M78" s="60">
        <f>IF(L78=1,H78*L1,0)</f>
        <v>43.77012582</v>
      </c>
      <c r="N78" s="106">
        <f t="shared" si="3"/>
        <v>3.082403227</v>
      </c>
      <c r="O78" s="61"/>
      <c r="P78" s="50"/>
    </row>
    <row r="79">
      <c r="A79" s="73">
        <v>78.0</v>
      </c>
      <c r="B79" s="63" t="s">
        <v>165</v>
      </c>
      <c r="C79" s="63">
        <v>75.0</v>
      </c>
      <c r="D79" s="75">
        <f>IFERROR(__xludf.DUMMYFUNCTION("GOOGLEFINANCE(B79)"),13.4)</f>
        <v>13.4</v>
      </c>
      <c r="E79" s="27">
        <f t="shared" si="1"/>
        <v>1005</v>
      </c>
      <c r="F79" s="24">
        <f>E79/E102</f>
        <v>0.02482693404</v>
      </c>
      <c r="G79" s="24">
        <f>IFS(J79="Grupo 0",0,J79="Grupo 1",K79*H105/100,J79="Grupo 2",K79*I105/100,J79="Grupo 3",K79*J105/100,J79="Grupo 4",K79*K105/100)</f>
        <v>0.02571428571</v>
      </c>
      <c r="H79" s="129">
        <f>IF(L79=1,I79/I102,0)</f>
        <v>0.01637090763</v>
      </c>
      <c r="I79" s="130">
        <f>IF(L79=1,C102*G79-E79,0)</f>
        <v>149.796124</v>
      </c>
      <c r="J79" s="85" t="s">
        <v>35</v>
      </c>
      <c r="K79" s="135">
        <f>IF(Balanceamentos!BV37&gt;0,Balanceamentos!BV37,0)</f>
        <v>9</v>
      </c>
      <c r="L79" s="132">
        <f>IF(G79&gt;E79/C102,1,0)</f>
        <v>1</v>
      </c>
      <c r="M79" s="26">
        <f>IF(L79=1,H79*L1,0)</f>
        <v>72.49869796</v>
      </c>
      <c r="N79" s="133">
        <f t="shared" si="3"/>
        <v>5.410350594</v>
      </c>
      <c r="O79" s="61"/>
      <c r="P79" s="50"/>
    </row>
    <row r="80">
      <c r="A80" s="51">
        <v>79.0</v>
      </c>
      <c r="B80" s="52" t="s">
        <v>166</v>
      </c>
      <c r="C80" s="52">
        <v>2.0</v>
      </c>
      <c r="D80" s="71">
        <f>IFERROR(__xludf.DUMMYFUNCTION("GOOGLEFINANCE(B80)"),19.2)</f>
        <v>19.2</v>
      </c>
      <c r="E80" s="54">
        <f t="shared" si="1"/>
        <v>38.4</v>
      </c>
      <c r="F80" s="55">
        <f>E80/E102</f>
        <v>0.000948611211</v>
      </c>
      <c r="G80" s="55">
        <f>IFS(J80="Grupo 0",0,J80="Grupo 1",K80*H105/100,J80="Grupo 2",K80*I105/100,J80="Grupo 3",K80*J105/100,J80="Grupo 4",K80*K105/100)</f>
        <v>0.0012</v>
      </c>
      <c r="H80" s="101">
        <f>IF(L80=1,I80/I102,0)</f>
        <v>0.001692923056</v>
      </c>
      <c r="I80" s="102">
        <f>IF(L80=1,C102*G80-E80,0)</f>
        <v>15.49048579</v>
      </c>
      <c r="J80" s="84" t="s">
        <v>38</v>
      </c>
      <c r="K80" s="134">
        <f>IF(Balanceamentos!BW37&gt;0,Balanceamentos!BW37,0)</f>
        <v>1</v>
      </c>
      <c r="L80" s="128">
        <f>IF(G80&gt;E80/C102,1,0)</f>
        <v>1</v>
      </c>
      <c r="M80" s="60">
        <f>IF(L80=1,H80*L1,0)</f>
        <v>7.497123559</v>
      </c>
      <c r="N80" s="106">
        <f t="shared" si="3"/>
        <v>0.3904751854</v>
      </c>
      <c r="O80" s="61"/>
      <c r="P80" s="50"/>
    </row>
    <row r="81">
      <c r="A81" s="73">
        <v>80.0</v>
      </c>
      <c r="B81" s="63" t="s">
        <v>167</v>
      </c>
      <c r="C81" s="63">
        <v>30.0</v>
      </c>
      <c r="D81" s="75">
        <f>IFERROR(__xludf.DUMMYFUNCTION("GOOGLEFINANCE(""BVMF:ITUB3"")"),41.14)</f>
        <v>41.14</v>
      </c>
      <c r="E81" s="27">
        <f t="shared" si="1"/>
        <v>1234.2</v>
      </c>
      <c r="F81" s="24">
        <f>E81/E102</f>
        <v>0.0304889572</v>
      </c>
      <c r="G81" s="24">
        <f>IFS(J81="Grupo 0",0,J81="Grupo 1",K81*H105/100,J81="Grupo 2",K81*I105/100,J81="Grupo 3",K81*J105/100,J81="Grupo 4",K81*K105/100)</f>
        <v>0.03142857143</v>
      </c>
      <c r="H81" s="129">
        <f>IF(L81=1,I81/I102,0)</f>
        <v>0.01936773128</v>
      </c>
      <c r="I81" s="130">
        <f>IF(L81=1,C102*G81-E81,0)</f>
        <v>177.2174849</v>
      </c>
      <c r="J81" s="85" t="s">
        <v>35</v>
      </c>
      <c r="K81" s="135">
        <f>IF(Balanceamentos!BX37&gt;0,Balanceamentos!BX37,0)</f>
        <v>11</v>
      </c>
      <c r="L81" s="132">
        <f>IF(G81&gt;E81/C102,1,0)</f>
        <v>1</v>
      </c>
      <c r="M81" s="26">
        <f>IF(L81=1,H81*L1,0)</f>
        <v>85.77015591</v>
      </c>
      <c r="N81" s="133">
        <f t="shared" si="3"/>
        <v>2.08483607</v>
      </c>
      <c r="O81" s="61"/>
      <c r="P81" s="50"/>
    </row>
    <row r="82">
      <c r="A82" s="51">
        <v>81.0</v>
      </c>
      <c r="B82" s="52" t="s">
        <v>168</v>
      </c>
      <c r="C82" s="52">
        <v>19.0</v>
      </c>
      <c r="D82" s="71">
        <f>IFERROR(__xludf.DUMMYFUNCTION("GOOGLEFINANCE(""BVMF:BBDC3"")"),16.08)</f>
        <v>16.08</v>
      </c>
      <c r="E82" s="54">
        <f t="shared" si="1"/>
        <v>305.52</v>
      </c>
      <c r="F82" s="55">
        <f>E82/E102</f>
        <v>0.007547387947</v>
      </c>
      <c r="G82" s="55">
        <f>IFS(J82="Grupo 0",0,J82="Grupo 1",K82*H105/100,J82="Grupo 2",K82*I105/100,J82="Grupo 3",K82*J105/100,J82="Grupo 4",K82*K105/100)</f>
        <v>0.0084</v>
      </c>
      <c r="H82" s="101">
        <f>IF(L82=1,I82/I102,0)</f>
        <v>0.007837408769</v>
      </c>
      <c r="I82" s="102">
        <f>IF(L82=1,C102*G82-E82,0)</f>
        <v>71.7134005</v>
      </c>
      <c r="J82" s="84" t="s">
        <v>38</v>
      </c>
      <c r="K82" s="134">
        <f>IF(Balanceamentos!BY37&gt;0,Balanceamentos!BY37,0)</f>
        <v>7</v>
      </c>
      <c r="L82" s="128">
        <f>IF(G82&gt;E82/C102,1,0)</f>
        <v>1</v>
      </c>
      <c r="M82" s="60">
        <f>IF(L82=1,H82*L1,0)</f>
        <v>34.70802865</v>
      </c>
      <c r="N82" s="106">
        <f t="shared" si="3"/>
        <v>2.158459493</v>
      </c>
      <c r="O82" s="61"/>
      <c r="P82" s="50"/>
    </row>
    <row r="83">
      <c r="A83" s="73">
        <v>82.0</v>
      </c>
      <c r="B83" s="63" t="s">
        <v>169</v>
      </c>
      <c r="C83" s="63">
        <v>20.0</v>
      </c>
      <c r="D83" s="75">
        <f>IFERROR(__xludf.DUMMYFUNCTION("GOOGLEFINANCE(""BVMF:SANB3"")"),14.68)</f>
        <v>14.68</v>
      </c>
      <c r="E83" s="27">
        <f t="shared" si="1"/>
        <v>293.6</v>
      </c>
      <c r="F83" s="24">
        <f>E83/E102</f>
        <v>0.007252923217</v>
      </c>
      <c r="G83" s="24">
        <f>IFS(J83="Grupo 0",0,J83="Grupo 1",K83*H105/100,J83="Grupo 2",K83*I105/100,J83="Grupo 3",K83*J105/100,J83="Grupo 4",K83*K105/100)</f>
        <v>0.0084</v>
      </c>
      <c r="H83" s="129">
        <f>IF(L83=1,I83/I102,0)</f>
        <v>0.00914012084</v>
      </c>
      <c r="I83" s="130">
        <f>IF(L83=1,C102*G83-E83,0)</f>
        <v>83.6334005</v>
      </c>
      <c r="J83" s="85" t="s">
        <v>38</v>
      </c>
      <c r="K83" s="135">
        <f>IF(Balanceamentos!BZ37&gt;0,Balanceamentos!BZ37,0)</f>
        <v>7</v>
      </c>
      <c r="L83" s="132">
        <f>IF(G83&gt;E83/C102,1,0)</f>
        <v>1</v>
      </c>
      <c r="M83" s="26">
        <f>IF(L83=1,H83*L1,0)</f>
        <v>40.47709968</v>
      </c>
      <c r="N83" s="133">
        <f t="shared" si="3"/>
        <v>2.757295619</v>
      </c>
      <c r="O83" s="61"/>
      <c r="P83" s="50"/>
    </row>
    <row r="84">
      <c r="A84" s="51">
        <v>83.0</v>
      </c>
      <c r="B84" s="52" t="s">
        <v>170</v>
      </c>
      <c r="C84" s="52">
        <v>10.0</v>
      </c>
      <c r="D84" s="71">
        <f>IFERROR(__xludf.DUMMYFUNCTION("GOOGLEFINANCE(B84)"),18.8)</f>
        <v>18.8</v>
      </c>
      <c r="E84" s="54">
        <f t="shared" si="1"/>
        <v>188</v>
      </c>
      <c r="F84" s="55">
        <f>E84/E102</f>
        <v>0.004644242387</v>
      </c>
      <c r="G84" s="55">
        <f>IFS(J84="Grupo 0",0,J84="Grupo 1",K84*H105/100,J84="Grupo 2",K84*I105/100,J84="Grupo 3",K84*J105/100,J84="Grupo 4",K84*K105/100)</f>
        <v>0.004054054054</v>
      </c>
      <c r="H84" s="101">
        <f>IF(L84=1,I84/I102,0)</f>
        <v>0</v>
      </c>
      <c r="I84" s="102">
        <f>IF(L84=1,C102*G84-E84,0)</f>
        <v>0</v>
      </c>
      <c r="J84" s="84" t="s">
        <v>41</v>
      </c>
      <c r="K84" s="134">
        <f>IF(Balanceamentos!CA37&gt;0,Balanceamentos!CA37,0)</f>
        <v>3</v>
      </c>
      <c r="L84" s="128">
        <f>IF(G84&gt;E84/C102,1,0)</f>
        <v>0</v>
      </c>
      <c r="M84" s="60">
        <f>IF(L84=1,H84*L1,0)</f>
        <v>0</v>
      </c>
      <c r="N84" s="106">
        <f t="shared" si="3"/>
        <v>0</v>
      </c>
      <c r="O84" s="61"/>
      <c r="P84" s="50"/>
    </row>
    <row r="85">
      <c r="A85" s="73">
        <v>84.0</v>
      </c>
      <c r="B85" s="63" t="s">
        <v>171</v>
      </c>
      <c r="C85" s="63">
        <v>17.0</v>
      </c>
      <c r="D85" s="75">
        <f>IFERROR(__xludf.DUMMYFUNCTION("GOOGLEFINANCE(B85)"),8.56)</f>
        <v>8.56</v>
      </c>
      <c r="E85" s="27">
        <f t="shared" si="1"/>
        <v>145.52</v>
      </c>
      <c r="F85" s="24">
        <f>E85/E102</f>
        <v>0.003594841235</v>
      </c>
      <c r="G85" s="24">
        <f>IFS(J85="Grupo 0",0,J85="Grupo 1",K85*H105/100,J85="Grupo 2",K85*I105/100,J85="Grupo 3",K85*J105/100,J85="Grupo 4",K85*K105/100)</f>
        <v>0.004054054054</v>
      </c>
      <c r="H85" s="129">
        <f>IF(L85=1,I85/I102,0)</f>
        <v>0.003993648768</v>
      </c>
      <c r="I85" s="130">
        <f>IF(L85=1,C102*G85-E85,0)</f>
        <v>36.54245198</v>
      </c>
      <c r="J85" s="85" t="s">
        <v>41</v>
      </c>
      <c r="K85" s="135">
        <f>IF(Balanceamentos!CB37&gt;0,Balanceamentos!CB37,0)</f>
        <v>3</v>
      </c>
      <c r="L85" s="132">
        <f>IF(G85&gt;E85/C102,1,0)</f>
        <v>1</v>
      </c>
      <c r="M85" s="26">
        <f>IF(L85=1,H85*L1,0)</f>
        <v>17.68590614</v>
      </c>
      <c r="N85" s="133">
        <f t="shared" si="3"/>
        <v>2.06611053</v>
      </c>
      <c r="O85" s="61"/>
      <c r="P85" s="50"/>
    </row>
    <row r="86">
      <c r="A86" s="51">
        <v>85.0</v>
      </c>
      <c r="B86" s="52" t="s">
        <v>172</v>
      </c>
      <c r="C86" s="52">
        <v>20.0</v>
      </c>
      <c r="D86" s="71">
        <f>IFERROR(__xludf.DUMMYFUNCTION("GOOGLEFINANCE(B86)"),39.86)</f>
        <v>39.86</v>
      </c>
      <c r="E86" s="54">
        <f t="shared" si="1"/>
        <v>797.2</v>
      </c>
      <c r="F86" s="55">
        <f>E86/E102</f>
        <v>0.01969356399</v>
      </c>
      <c r="G86" s="55">
        <f>IFS(J86="Grupo 0",0,J86="Grupo 1",K86*H105/100,J86="Grupo 2",K86*I105/100,J86="Grupo 3",K86*J105/100,J86="Grupo 4",K86*K105/100)</f>
        <v>0.01486486486</v>
      </c>
      <c r="H86" s="101">
        <f>IF(L86=1,I86/I102,0)</f>
        <v>0</v>
      </c>
      <c r="I86" s="102">
        <f>IF(L86=1,C102*G86-E86,0)</f>
        <v>0</v>
      </c>
      <c r="J86" s="84" t="s">
        <v>41</v>
      </c>
      <c r="K86" s="134">
        <f>IF(Balanceamentos!CC37&gt;0,Balanceamentos!CC37,0)</f>
        <v>11</v>
      </c>
      <c r="L86" s="128">
        <f>IF(G86&gt;E86/C102,1,0)</f>
        <v>0</v>
      </c>
      <c r="M86" s="60">
        <f>IF(L86=1,H86*L1,0)</f>
        <v>0</v>
      </c>
      <c r="N86" s="106">
        <f t="shared" si="3"/>
        <v>0</v>
      </c>
      <c r="O86" s="61"/>
      <c r="P86" s="50"/>
    </row>
    <row r="87">
      <c r="A87" s="73">
        <v>86.0</v>
      </c>
      <c r="B87" s="63" t="s">
        <v>173</v>
      </c>
      <c r="C87" s="63">
        <v>2.0</v>
      </c>
      <c r="D87" s="75">
        <f>IFERROR(__xludf.DUMMYFUNCTION("GOOGLEFINANCE(B87)"),62.24)</f>
        <v>62.24</v>
      </c>
      <c r="E87" s="27">
        <f t="shared" si="1"/>
        <v>124.48</v>
      </c>
      <c r="F87" s="24">
        <f>E87/E102</f>
        <v>0.003075081342</v>
      </c>
      <c r="G87" s="24">
        <f>IFS(J87="Grupo 0",0,J87="Grupo 1",K87*H105/100,J87="Grupo 2",K87*I105/100,J87="Grupo 3",K87*J105/100,J87="Grupo 4",K87*K105/100)</f>
        <v>0.002857142857</v>
      </c>
      <c r="H87" s="129">
        <f>IF(L87=1,I87/I102,0)</f>
        <v>0.0004186471187</v>
      </c>
      <c r="I87" s="130">
        <f>IF(L87=1,C102*G87-E87,0)</f>
        <v>3.830680443</v>
      </c>
      <c r="J87" s="85" t="s">
        <v>35</v>
      </c>
      <c r="K87" s="135">
        <f>IF(Balanceamentos!CD37&gt;0,Balanceamentos!CD37,0)</f>
        <v>1</v>
      </c>
      <c r="L87" s="132">
        <f>IF(G87&gt;E87/C102,1,0)</f>
        <v>1</v>
      </c>
      <c r="M87" s="26">
        <f>IF(L87=1,H87*L1,0)</f>
        <v>1.853982179</v>
      </c>
      <c r="N87" s="133">
        <f t="shared" si="3"/>
        <v>0.02978763142</v>
      </c>
      <c r="O87" s="61"/>
      <c r="P87" s="50"/>
    </row>
    <row r="88">
      <c r="A88" s="51">
        <v>87.0</v>
      </c>
      <c r="B88" s="52" t="s">
        <v>174</v>
      </c>
      <c r="C88" s="52">
        <v>21.0</v>
      </c>
      <c r="D88" s="71">
        <f>IFERROR(__xludf.DUMMYFUNCTION("GOOGLEFINANCE(""BVMF:PSSA3"")"),47.65)</f>
        <v>47.65</v>
      </c>
      <c r="E88" s="54">
        <f t="shared" si="1"/>
        <v>1000.65</v>
      </c>
      <c r="F88" s="55">
        <f>E88/E102</f>
        <v>0.02471947417</v>
      </c>
      <c r="G88" s="55">
        <f>IFS(J88="Grupo 0",0,J88="Grupo 1",K88*H105/100,J88="Grupo 2",K88*I105/100,J88="Grupo 3",K88*J105/100,J88="Grupo 4",K88*K105/100)</f>
        <v>0.03142857143</v>
      </c>
      <c r="H88" s="101">
        <f>IF(L88=1,I88/I102,0)</f>
        <v>0.04489192627</v>
      </c>
      <c r="I88" s="102">
        <f>IF(L88=1,C102*G88-E88,0)</f>
        <v>410.7674849</v>
      </c>
      <c r="J88" s="84" t="s">
        <v>35</v>
      </c>
      <c r="K88" s="134">
        <f>IF(Balanceamentos!CE37&gt;0,Balanceamentos!CE37,0)</f>
        <v>11</v>
      </c>
      <c r="L88" s="128">
        <f>IF(G88&gt;E88/C102,1,0)</f>
        <v>1</v>
      </c>
      <c r="M88" s="60">
        <f>IF(L88=1,H88*L1,0)</f>
        <v>198.8042616</v>
      </c>
      <c r="N88" s="106">
        <f t="shared" si="3"/>
        <v>4.172177578</v>
      </c>
      <c r="O88" s="61"/>
      <c r="P88" s="50"/>
    </row>
    <row r="89">
      <c r="A89" s="73">
        <v>88.0</v>
      </c>
      <c r="B89" s="63" t="s">
        <v>175</v>
      </c>
      <c r="C89" s="63">
        <v>19.0</v>
      </c>
      <c r="D89" s="75">
        <f>IFERROR(__xludf.DUMMYFUNCTION("GOOGLEFINANCE(""BVMF:WIZC3"")"),8.89)</f>
        <v>8.89</v>
      </c>
      <c r="E89" s="27">
        <f t="shared" si="1"/>
        <v>168.91</v>
      </c>
      <c r="F89" s="24">
        <f>E89/E102</f>
        <v>0.004172654157</v>
      </c>
      <c r="G89" s="24">
        <f>IFS(J89="Grupo 0",0,J89="Grupo 1",K89*H105/100,J89="Grupo 2",K89*I105/100,J89="Grupo 3",K89*J105/100,J89="Grupo 4",K89*K105/100)</f>
        <v>0.004054054054</v>
      </c>
      <c r="H89" s="129">
        <f>IF(L89=1,I89/I102,0)</f>
        <v>0.001437404192</v>
      </c>
      <c r="I89" s="130">
        <f>IF(L89=1,C102*G89-E89,0)</f>
        <v>13.15245198</v>
      </c>
      <c r="J89" s="85" t="s">
        <v>41</v>
      </c>
      <c r="K89" s="135">
        <f>IF(Balanceamentos!CF37&gt;0,Balanceamentos!CF37,0)</f>
        <v>3</v>
      </c>
      <c r="L89" s="132">
        <f>IF(G89&gt;E89/C102,1,0)</f>
        <v>1</v>
      </c>
      <c r="M89" s="26">
        <f>IF(L89=1,H89*L1,0)</f>
        <v>6.365556185</v>
      </c>
      <c r="N89" s="133">
        <f t="shared" si="3"/>
        <v>0.7160355664</v>
      </c>
      <c r="O89" s="61"/>
      <c r="P89" s="50"/>
    </row>
    <row r="90">
      <c r="A90" s="51">
        <v>89.0</v>
      </c>
      <c r="B90" s="52" t="s">
        <v>176</v>
      </c>
      <c r="C90" s="52">
        <v>34.0</v>
      </c>
      <c r="D90" s="71">
        <f>IFERROR(__xludf.DUMMYFUNCTION("GOOGLEFINANCE(B90)"),17.12)</f>
        <v>17.12</v>
      </c>
      <c r="E90" s="54">
        <f t="shared" si="1"/>
        <v>582.08</v>
      </c>
      <c r="F90" s="55">
        <f>E90/E102</f>
        <v>0.01437936494</v>
      </c>
      <c r="G90" s="55">
        <f>IFS(J90="Grupo 0",0,J90="Grupo 1",K90*H105/100,J90="Grupo 2",K90*I105/100,J90="Grupo 3",K90*J105/100,J90="Grupo 4",K90*K105/100)</f>
        <v>0.0132</v>
      </c>
      <c r="H90" s="101">
        <f>IF(L90=1,I90/I102,0)</f>
        <v>0.001171057678</v>
      </c>
      <c r="I90" s="102">
        <f>IF(L90=1,C102*G90-E90,0)</f>
        <v>10.71534365</v>
      </c>
      <c r="J90" s="84" t="s">
        <v>38</v>
      </c>
      <c r="K90" s="134">
        <f>IF(Balanceamentos!CG37&gt;0,Balanceamentos!CG37,0)</f>
        <v>11</v>
      </c>
      <c r="L90" s="128">
        <f>IF(G90&gt;E90/C102,1,0)</f>
        <v>1</v>
      </c>
      <c r="M90" s="60">
        <f>IF(L90=1,H90*L1,0)</f>
        <v>5.186038476</v>
      </c>
      <c r="N90" s="106">
        <f t="shared" si="3"/>
        <v>0.3029228082</v>
      </c>
      <c r="O90" s="61"/>
      <c r="P90" s="50"/>
    </row>
    <row r="91">
      <c r="A91" s="73">
        <v>90.0</v>
      </c>
      <c r="B91" s="63" t="s">
        <v>177</v>
      </c>
      <c r="C91" s="63">
        <v>8.0</v>
      </c>
      <c r="D91" s="75">
        <f>IFERROR(__xludf.DUMMYFUNCTION("GOOGLEFINANCE(B91)"),14.82)</f>
        <v>14.82</v>
      </c>
      <c r="E91" s="27">
        <f t="shared" si="1"/>
        <v>118.56</v>
      </c>
      <c r="F91" s="24">
        <f>E91/E102</f>
        <v>0.002928837114</v>
      </c>
      <c r="G91" s="24">
        <f>IFS(J91="Grupo 0",0,J91="Grupo 1",K91*H105/100,J91="Grupo 2",K91*I105/100,J91="Grupo 3",K91*J105/100,J91="Grupo 4",K91*K105/100)</f>
        <v>0.003205128205</v>
      </c>
      <c r="H91" s="129">
        <f>IF(L91=1,I91/I102,0)</f>
        <v>0.00277353775</v>
      </c>
      <c r="I91" s="130">
        <f>IF(L91=1,C102*G91-E91,0)</f>
        <v>25.37826332</v>
      </c>
      <c r="J91" s="85" t="s">
        <v>110</v>
      </c>
      <c r="K91" s="135">
        <f>IF(Balanceamentos!CH37&gt;0,Balanceamentos!CH37,0)</f>
        <v>5</v>
      </c>
      <c r="L91" s="132">
        <f>IF(G91&gt;E91/C102,1,0)</f>
        <v>1</v>
      </c>
      <c r="M91" s="26">
        <f>IF(L91=1,H91*L1,0)</f>
        <v>12.28263454</v>
      </c>
      <c r="N91" s="133">
        <f t="shared" si="3"/>
        <v>0.828787756</v>
      </c>
      <c r="O91" s="61"/>
      <c r="P91" s="50"/>
    </row>
    <row r="92">
      <c r="A92" s="51">
        <v>91.0</v>
      </c>
      <c r="B92" s="52" t="s">
        <v>178</v>
      </c>
      <c r="C92" s="52">
        <v>78.0</v>
      </c>
      <c r="D92" s="71">
        <f>IFERROR(__xludf.DUMMYFUNCTION("GOOGLEFINANCE(B92)"),5.83)</f>
        <v>5.83</v>
      </c>
      <c r="E92" s="54">
        <f t="shared" si="1"/>
        <v>454.74</v>
      </c>
      <c r="F92" s="55">
        <f>E92/E102</f>
        <v>0.01123363182</v>
      </c>
      <c r="G92" s="55">
        <f>IFS(J92="Grupo 0",0,J92="Grupo 1",K92*H105/100,J92="Grupo 2",K92*I105/100,J92="Grupo 3",K92*J105/100,J92="Grupo 4",K92*K105/100)</f>
        <v>0.01216216216</v>
      </c>
      <c r="H92" s="101">
        <f>IF(L92=1,I92/I102,0)</f>
        <v>0.00999409182</v>
      </c>
      <c r="I92" s="102">
        <f>IF(L92=1,C102*G92-E92,0)</f>
        <v>91.44735594</v>
      </c>
      <c r="J92" s="84" t="s">
        <v>41</v>
      </c>
      <c r="K92" s="134">
        <f>IF(Balanceamentos!CI37&gt;0,Balanceamentos!CI37,0)</f>
        <v>9</v>
      </c>
      <c r="L92" s="128">
        <f>IF(G92&gt;E92/C102,1,0)</f>
        <v>1</v>
      </c>
      <c r="M92" s="60">
        <f>IF(L92=1,H92*L1,0)</f>
        <v>44.25891713</v>
      </c>
      <c r="N92" s="106">
        <f t="shared" si="3"/>
        <v>7.591580982</v>
      </c>
      <c r="O92" s="61"/>
      <c r="P92" s="50"/>
    </row>
    <row r="93">
      <c r="A93" s="73">
        <v>92.0</v>
      </c>
      <c r="B93" s="64"/>
      <c r="C93" s="64"/>
      <c r="D93" s="64"/>
      <c r="E93" s="25"/>
      <c r="F93" s="20"/>
      <c r="G93" s="24">
        <f>IFS(J93="Grupo 0",0,J93="Grupo 1",K93*H105/100,J93="Grupo 2",K93*I105/100,J93="Grupo 3",K93*J105/100,J93="Grupo 4",K93*K105/100)</f>
        <v>0</v>
      </c>
      <c r="H93" s="129">
        <f>IF(L93=1,I93/I102,0)</f>
        <v>0</v>
      </c>
      <c r="I93" s="130">
        <f>IF(L93=1,C102*G93-E93,0)</f>
        <v>0</v>
      </c>
      <c r="J93" s="85" t="s">
        <v>36</v>
      </c>
      <c r="K93" s="135"/>
      <c r="L93" s="132">
        <f>IF(G93&gt;E93/C102,1,0)</f>
        <v>0</v>
      </c>
      <c r="M93" s="26">
        <f>IF(L93=1,H93*L1,0)</f>
        <v>0</v>
      </c>
      <c r="N93" s="133">
        <f t="shared" si="3"/>
        <v>0</v>
      </c>
      <c r="O93" s="61"/>
      <c r="P93" s="50"/>
    </row>
    <row r="94">
      <c r="A94" s="51">
        <v>93.0</v>
      </c>
      <c r="B94" s="83"/>
      <c r="C94" s="83"/>
      <c r="D94" s="83"/>
      <c r="E94" s="53"/>
      <c r="F94" s="120"/>
      <c r="G94" s="55">
        <f>IFS(J94="Grupo 0",0,J94="Grupo 1",K94*H105/100,J94="Grupo 2",K94*I105/100,J94="Grupo 3",K94*J105/100,J94="Grupo 4",K94*K105/100)</f>
        <v>0</v>
      </c>
      <c r="H94" s="101">
        <f>IF(L94=1,I94/I102,0)</f>
        <v>0</v>
      </c>
      <c r="I94" s="102">
        <f>IF(L94=1,C102*G94-E94,0)</f>
        <v>0</v>
      </c>
      <c r="J94" s="84" t="s">
        <v>36</v>
      </c>
      <c r="K94" s="134"/>
      <c r="L94" s="128">
        <f>IF(G94&gt;E94/C102,1,0)</f>
        <v>0</v>
      </c>
      <c r="M94" s="60">
        <f>IF(L94=1,H94*L1,0)</f>
        <v>0</v>
      </c>
      <c r="N94" s="106">
        <f t="shared" si="3"/>
        <v>0</v>
      </c>
      <c r="O94" s="61"/>
      <c r="P94" s="50"/>
    </row>
    <row r="95">
      <c r="A95" s="73">
        <v>94.0</v>
      </c>
      <c r="B95" s="64"/>
      <c r="C95" s="64"/>
      <c r="D95" s="64"/>
      <c r="E95" s="25"/>
      <c r="F95" s="20"/>
      <c r="G95" s="24">
        <f>IFS(J95="Grupo 0",0,J95="Grupo 1",K95*H105/100,J95="Grupo 2",K95*I105/100,J95="Grupo 3",K95*J105/100,J95="Grupo 4",K95*K105/100)</f>
        <v>0</v>
      </c>
      <c r="H95" s="129">
        <f>IF(L95=1,I95/I102,0)</f>
        <v>0</v>
      </c>
      <c r="I95" s="130">
        <f>IF(L95=1,C102*G95-E95,0)</f>
        <v>0</v>
      </c>
      <c r="J95" s="85" t="s">
        <v>36</v>
      </c>
      <c r="K95" s="135"/>
      <c r="L95" s="132">
        <f>IF(G95&gt;E95/C102,1,0)</f>
        <v>0</v>
      </c>
      <c r="M95" s="26">
        <f>IF(L95=1,H95*L1,0)</f>
        <v>0</v>
      </c>
      <c r="N95" s="133">
        <f t="shared" si="3"/>
        <v>0</v>
      </c>
      <c r="O95" s="61"/>
      <c r="P95" s="50"/>
    </row>
    <row r="96">
      <c r="A96" s="51">
        <v>95.0</v>
      </c>
      <c r="B96" s="83"/>
      <c r="C96" s="83"/>
      <c r="D96" s="83"/>
      <c r="E96" s="53"/>
      <c r="F96" s="120"/>
      <c r="G96" s="55">
        <f>IFS(J96="Grupo 0",0,J96="Grupo 1",K96*H105/100,J96="Grupo 2",K96*I105/100,J96="Grupo 3",K96*J105/100,J96="Grupo 4",K96*K105/100)</f>
        <v>0</v>
      </c>
      <c r="H96" s="101">
        <f>IF(L96=1,I96/I102,0)</f>
        <v>0</v>
      </c>
      <c r="I96" s="102">
        <f>IF(L96=1,C102*G96-E96,0)</f>
        <v>0</v>
      </c>
      <c r="J96" s="84" t="s">
        <v>36</v>
      </c>
      <c r="K96" s="134"/>
      <c r="L96" s="128">
        <f>IF(G96&gt;E96/C102,1,0)</f>
        <v>0</v>
      </c>
      <c r="M96" s="60">
        <f>IF(L96=1,H96*L1,0)</f>
        <v>0</v>
      </c>
      <c r="N96" s="106">
        <f t="shared" si="3"/>
        <v>0</v>
      </c>
      <c r="O96" s="61"/>
      <c r="P96" s="50"/>
    </row>
    <row r="97">
      <c r="A97" s="73">
        <v>96.0</v>
      </c>
      <c r="B97" s="64"/>
      <c r="C97" s="64"/>
      <c r="D97" s="64"/>
      <c r="E97" s="25"/>
      <c r="F97" s="20"/>
      <c r="G97" s="24">
        <f>IFS(J97="Grupo 0",0,J97="Grupo 1",K97*H105/100,J97="Grupo 2",K97*I105/100,J97="Grupo 3",K97*J105/100,J97="Grupo 4",K97*K105/100)</f>
        <v>0</v>
      </c>
      <c r="H97" s="129">
        <f>IF(L97=1,I97/I102,0)</f>
        <v>0</v>
      </c>
      <c r="I97" s="130">
        <f>IF(L97=1,C102*G97-E97,0)</f>
        <v>0</v>
      </c>
      <c r="J97" s="85" t="s">
        <v>36</v>
      </c>
      <c r="K97" s="135"/>
      <c r="L97" s="132">
        <f>IF(G97&gt;E97/C102,1,0)</f>
        <v>0</v>
      </c>
      <c r="M97" s="26">
        <f>IF(L97=1,H97*L1,0)</f>
        <v>0</v>
      </c>
      <c r="N97" s="133">
        <f t="shared" si="3"/>
        <v>0</v>
      </c>
      <c r="O97" s="61"/>
      <c r="P97" s="50"/>
    </row>
    <row r="98">
      <c r="A98" s="51">
        <v>97.0</v>
      </c>
      <c r="B98" s="83"/>
      <c r="C98" s="83"/>
      <c r="D98" s="83"/>
      <c r="E98" s="53"/>
      <c r="F98" s="120"/>
      <c r="G98" s="55">
        <f>IFS(J98="Grupo 0",0,J98="Grupo 1",K98*H105/100,J98="Grupo 2",K98*I105/100,J98="Grupo 3",K98*J105/100,J98="Grupo 4",K98*K105/100)</f>
        <v>0</v>
      </c>
      <c r="H98" s="101">
        <f>IF(L98=1,I98/I102,0)</f>
        <v>0</v>
      </c>
      <c r="I98" s="102">
        <f>IF(L98=1,C102*G98-E98,0)</f>
        <v>0</v>
      </c>
      <c r="J98" s="84" t="s">
        <v>36</v>
      </c>
      <c r="K98" s="134"/>
      <c r="L98" s="128">
        <f>IF(G98&gt;E98/C102,1,0)</f>
        <v>0</v>
      </c>
      <c r="M98" s="60">
        <f>IF(L98=1,H98*L1,0)</f>
        <v>0</v>
      </c>
      <c r="N98" s="106">
        <f t="shared" si="3"/>
        <v>0</v>
      </c>
      <c r="O98" s="61"/>
      <c r="P98" s="50"/>
    </row>
    <row r="99">
      <c r="A99" s="73">
        <v>98.0</v>
      </c>
      <c r="B99" s="64"/>
      <c r="C99" s="64"/>
      <c r="D99" s="64"/>
      <c r="E99" s="25"/>
      <c r="F99" s="20"/>
      <c r="G99" s="24">
        <f>IFS(J99="Grupo 0",0,J99="Grupo 1",K99*H105/100,J99="Grupo 2",K99*I105/100,J99="Grupo 3",K99*J105/100,J99="Grupo 4",K99*K105/100)</f>
        <v>0</v>
      </c>
      <c r="H99" s="129">
        <f>IF(L99=1,I99/I102,0)</f>
        <v>0</v>
      </c>
      <c r="I99" s="130">
        <f>IF(L99=1,C102*G99-E99,0)</f>
        <v>0</v>
      </c>
      <c r="J99" s="85" t="s">
        <v>36</v>
      </c>
      <c r="K99" s="135"/>
      <c r="L99" s="132">
        <f>IF(G99&gt;E99/C102,1,0)</f>
        <v>0</v>
      </c>
      <c r="M99" s="26">
        <f>IF(L99=1,H99*L1,0)</f>
        <v>0</v>
      </c>
      <c r="N99" s="133">
        <f t="shared" si="3"/>
        <v>0</v>
      </c>
      <c r="O99" s="61"/>
      <c r="P99" s="50"/>
    </row>
    <row r="100">
      <c r="A100" s="51">
        <v>99.0</v>
      </c>
      <c r="B100" s="83"/>
      <c r="C100" s="83"/>
      <c r="D100" s="83"/>
      <c r="E100" s="53"/>
      <c r="F100" s="120"/>
      <c r="G100" s="55">
        <f>IFS(J100="Grupo 0",0,J100="Grupo 1",K100*H105/100,J100="Grupo 2",K100*I105/100,J100="Grupo 3",K100*J105/100,J100="Grupo 4",K100*K105/100)</f>
        <v>0</v>
      </c>
      <c r="H100" s="101">
        <f>IF(L100=1,I100/I102,0)</f>
        <v>0</v>
      </c>
      <c r="I100" s="102">
        <f>IF(L100=1,C102*G100-E100,0)</f>
        <v>0</v>
      </c>
      <c r="J100" s="84" t="s">
        <v>36</v>
      </c>
      <c r="K100" s="134"/>
      <c r="L100" s="128">
        <f>IF(G100&gt;E100/C102,1,0)</f>
        <v>0</v>
      </c>
      <c r="M100" s="60">
        <f>IF(L100=1,H100*L1,0)</f>
        <v>0</v>
      </c>
      <c r="N100" s="106">
        <f t="shared" si="3"/>
        <v>0</v>
      </c>
      <c r="O100" s="61"/>
      <c r="P100" s="50"/>
    </row>
    <row r="101">
      <c r="A101" s="73">
        <v>100.0</v>
      </c>
      <c r="B101" s="64"/>
      <c r="C101" s="64"/>
      <c r="D101" s="64"/>
      <c r="E101" s="25"/>
      <c r="F101" s="20"/>
      <c r="G101" s="24">
        <f>IFS(J101="Grupo 0",0,J101="Grupo 1",K101*H105/100,J101="Grupo 2",K101*I105/100,J101="Grupo 3",K101*J105/100,J101="Grupo 4",K101*K105/100)</f>
        <v>0</v>
      </c>
      <c r="H101" s="129">
        <f>IF(L101=1,I101/I102,0)</f>
        <v>0</v>
      </c>
      <c r="I101" s="130">
        <f>IF(L101=1,C102*G101-E101,0)</f>
        <v>0</v>
      </c>
      <c r="J101" s="85" t="s">
        <v>36</v>
      </c>
      <c r="K101" s="135">
        <v>10.0</v>
      </c>
      <c r="L101" s="132">
        <f>IF(G101&gt;E101/C102,1,0)</f>
        <v>0</v>
      </c>
      <c r="M101" s="26">
        <f>IF(L101=1,H101*L1,0)</f>
        <v>0</v>
      </c>
      <c r="N101" s="133">
        <f t="shared" si="3"/>
        <v>0</v>
      </c>
      <c r="O101" s="61">
        <f>(E101+M101)/C102</f>
        <v>0</v>
      </c>
      <c r="P101" s="50"/>
    </row>
    <row r="102">
      <c r="A102" s="86"/>
      <c r="B102" s="49" t="s">
        <v>42</v>
      </c>
      <c r="C102" s="122">
        <f>E102+L1</f>
        <v>44908.73816</v>
      </c>
      <c r="D102" s="88">
        <f t="shared" ref="D102:I102" si="4">SUM(D2:D101)</f>
        <v>2101.85</v>
      </c>
      <c r="E102" s="88">
        <f t="shared" si="4"/>
        <v>40480.23</v>
      </c>
      <c r="F102" s="61">
        <f t="shared" si="4"/>
        <v>1</v>
      </c>
      <c r="G102" s="136">
        <f t="shared" si="4"/>
        <v>1</v>
      </c>
      <c r="H102" s="121">
        <f t="shared" si="4"/>
        <v>1</v>
      </c>
      <c r="I102" s="122">
        <f t="shared" si="4"/>
        <v>9150.141663</v>
      </c>
      <c r="J102" s="98"/>
      <c r="K102" s="98">
        <f>SUM(K2:K101)</f>
        <v>585</v>
      </c>
      <c r="L102" s="125"/>
      <c r="M102" s="93">
        <f>SUM(M2:M101)</f>
        <v>4428.508155</v>
      </c>
      <c r="N102" s="50"/>
      <c r="O102" s="89">
        <f>SUM(O2:O101)</f>
        <v>0</v>
      </c>
      <c r="P102" s="50"/>
    </row>
    <row r="103">
      <c r="A103" s="86" t="s">
        <v>43</v>
      </c>
      <c r="B103" s="89">
        <v>0.6</v>
      </c>
      <c r="C103" s="91"/>
      <c r="D103" s="91"/>
      <c r="E103" s="92"/>
      <c r="F103" s="91"/>
      <c r="G103" s="91"/>
      <c r="H103" s="137">
        <f>COUNTIF(J2:J101,"Grupo 1")</f>
        <v>26</v>
      </c>
      <c r="I103" s="138">
        <f>COUNTIF(J2:J101,"Grupo 2")</f>
        <v>24</v>
      </c>
      <c r="J103" s="138">
        <f>COUNTIF(J2:J101,"Grupo 3")</f>
        <v>19</v>
      </c>
      <c r="K103" s="137">
        <f>COUNTIF(J2:J101,"Grupo 4")</f>
        <v>14</v>
      </c>
      <c r="L103" s="136"/>
      <c r="M103" s="97"/>
      <c r="N103" s="91"/>
      <c r="O103" s="50"/>
      <c r="P103" s="50"/>
    </row>
    <row r="104">
      <c r="A104" s="86" t="s">
        <v>45</v>
      </c>
      <c r="B104" s="89">
        <v>0.2</v>
      </c>
      <c r="C104" s="91"/>
      <c r="D104" s="91"/>
      <c r="E104" s="92"/>
      <c r="F104" s="91"/>
      <c r="G104" s="98"/>
      <c r="H104" s="121">
        <f>SUMIF(J2:J101,"Grupo 1",G2:P101)</f>
        <v>0.6</v>
      </c>
      <c r="I104" s="136">
        <f>SUMIF(J2:J101,"Grupo 2",G2:P101)</f>
        <v>0.2</v>
      </c>
      <c r="J104" s="136">
        <f>SUMIF(J2:J101,"Grupo 3",G2:P101)</f>
        <v>0.15</v>
      </c>
      <c r="K104" s="136">
        <f>SUMIF(J2:J101,"Grupo 4",G2:P101)</f>
        <v>0.05</v>
      </c>
      <c r="L104" s="139"/>
      <c r="M104" s="99"/>
      <c r="N104" s="91"/>
      <c r="O104" s="50"/>
      <c r="P104" s="50"/>
    </row>
    <row r="105">
      <c r="A105" s="86" t="s">
        <v>47</v>
      </c>
      <c r="B105" s="89">
        <v>0.15</v>
      </c>
      <c r="C105" s="91"/>
      <c r="D105" s="91"/>
      <c r="E105" s="92"/>
      <c r="F105" s="91"/>
      <c r="G105" s="98"/>
      <c r="H105" s="98">
        <f>L106*B103/H106</f>
        <v>0.2857142857</v>
      </c>
      <c r="I105" s="98">
        <f>L106*B104/I106</f>
        <v>0.1351351351</v>
      </c>
      <c r="J105" s="98">
        <f>L106*B105/J106</f>
        <v>0.12</v>
      </c>
      <c r="K105" s="98">
        <f>L106*B106/K106</f>
        <v>0.0641025641</v>
      </c>
      <c r="L105" s="139"/>
      <c r="M105" s="99"/>
      <c r="N105" s="91"/>
      <c r="O105" s="50"/>
      <c r="P105" s="50"/>
    </row>
    <row r="106">
      <c r="A106" s="86" t="s">
        <v>49</v>
      </c>
      <c r="B106" s="89">
        <v>0.05</v>
      </c>
      <c r="C106" s="91"/>
      <c r="D106" s="91"/>
      <c r="E106" s="92"/>
      <c r="F106" s="91"/>
      <c r="G106" s="98"/>
      <c r="H106" s="140">
        <f>SUMIF(J2:J101,"Grupo 1",K2:K101)</f>
        <v>210</v>
      </c>
      <c r="I106" s="139">
        <f>SUMIF(J2:J101,"Grupo 2",K2:K101)</f>
        <v>148</v>
      </c>
      <c r="J106" s="139">
        <f>SUMIF(J2:J101,"Grupo 3",K2:K101)</f>
        <v>125</v>
      </c>
      <c r="K106" s="98">
        <f>SUMIF(J2:J101,"Grupo 4",K2:K101)</f>
        <v>78</v>
      </c>
      <c r="L106" s="139">
        <v>100.0</v>
      </c>
      <c r="M106" s="99"/>
      <c r="N106" s="91"/>
      <c r="O106" s="50"/>
      <c r="P106" s="50"/>
    </row>
  </sheetData>
  <dataValidations>
    <dataValidation type="list" allowBlank="1" showErrorMessage="1" sqref="J2:J101">
      <formula1>"Grupo 0,Grupo 1,Grupo 2,Grupo 3,Grupo 4"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75"/>
    <col customWidth="1" min="2" max="2" width="13.0"/>
    <col customWidth="1" min="3" max="3" width="12.75"/>
    <col customWidth="1" min="4" max="4" width="13.0"/>
    <col customWidth="1" min="6" max="7" width="13.63"/>
    <col customWidth="1" min="10" max="10" width="7.38"/>
    <col customWidth="1" min="11" max="11" width="13.5"/>
    <col customWidth="1" min="13" max="13" width="6.75"/>
    <col customWidth="1" min="14" max="14" width="11.25"/>
    <col customWidth="1" min="15" max="15" width="19.38"/>
  </cols>
  <sheetData>
    <row r="1">
      <c r="A1" s="44"/>
      <c r="B1" s="45" t="s">
        <v>22</v>
      </c>
      <c r="C1" s="45" t="s">
        <v>179</v>
      </c>
      <c r="D1" s="45" t="s">
        <v>24</v>
      </c>
      <c r="E1" s="45" t="s">
        <v>25</v>
      </c>
      <c r="F1" s="45" t="s">
        <v>26</v>
      </c>
      <c r="G1" s="45" t="s">
        <v>27</v>
      </c>
      <c r="H1" s="46" t="s">
        <v>28</v>
      </c>
      <c r="I1" s="46" t="s">
        <v>29</v>
      </c>
      <c r="J1" s="47" t="s">
        <v>30</v>
      </c>
      <c r="K1" s="47" t="s">
        <v>30</v>
      </c>
      <c r="L1" s="46"/>
      <c r="M1" s="46" t="s">
        <v>31</v>
      </c>
      <c r="N1" s="48">
        <f>SUM(D42:D46)</f>
        <v>816.295193</v>
      </c>
      <c r="O1" s="46" t="s">
        <v>32</v>
      </c>
      <c r="P1" s="49" t="s">
        <v>33</v>
      </c>
      <c r="Q1" s="50"/>
    </row>
    <row r="2">
      <c r="A2" s="51">
        <v>1.0</v>
      </c>
      <c r="B2" s="52" t="s">
        <v>180</v>
      </c>
      <c r="C2" s="53">
        <f>F2*I46</f>
        <v>3051.936262</v>
      </c>
      <c r="D2" s="52">
        <v>0.953</v>
      </c>
      <c r="E2" s="141">
        <f>IFERROR(__xludf.DUMMYFUNCTION("GOOGLEFINANCE(B2)"),608.38)</f>
        <v>608.38</v>
      </c>
      <c r="F2" s="142">
        <f t="shared" ref="F2:F40" si="1">D2*E2</f>
        <v>579.78614</v>
      </c>
      <c r="G2" s="55">
        <f>IFS(L2="Grupo 0",0,L2="Grupo 1",F2/F42,L2="Grupo 2",F2/F43,L2="Grupo 3",F2/F44,L2="Grupo 4",F2/F45,L2="Grupo 5",F2/F46)</f>
        <v>0.3191318082</v>
      </c>
      <c r="H2" s="55">
        <f>IFS(L2="Grupo 0",0,L2="Grupo 1",F2/E42,L2="Grupo 2",F2/E43,L2="Grupo 3",F2/E44,L2="Grupo 4",F2/E45,L2="Grupo 5",F2/E46)</f>
        <v>0.2772129441</v>
      </c>
      <c r="I2" s="55">
        <f>IFS(L2="Grupo 0",0,L2="Grupo 1",M2/M42,L2="Grupo 2",M2/M43,L2="Grupo 3",M2/M44,L2="Grupo 4",M2/M45,L2="Grupo 5",M2/M46)</f>
        <v>0.3333333333</v>
      </c>
      <c r="J2" s="56">
        <f>IFS(L2="Grupo 0",0,L2="Grupo 1",K2/K42,L2="Grupo 2",K2/K43,L2="Grupo 3",K2/K44,L2="Grupo 4",K2/K45,L2="Grupo 5",K2/K46)</f>
        <v>0.4272492035</v>
      </c>
      <c r="K2" s="57">
        <f>IFS(L2="Grupo 0",0,L2="Grupo 1",(E42*I2-F2)*N2,L2="Grupo 2",(E43*I2-F2)*N2,L2="Grupo 3",(E44*I2-F2)*N2,L2="Grupo 4",(E45*I2-F2)*N2,L2="Grupo 5",(E46*I2-F2)*N2)</f>
        <v>117.3748359</v>
      </c>
      <c r="L2" s="58" t="s">
        <v>35</v>
      </c>
      <c r="M2" s="58">
        <v>10.0</v>
      </c>
      <c r="N2" s="59">
        <f t="shared" ref="N2:N40" si="2">IF(I2&lt;H2,0,1)</f>
        <v>1</v>
      </c>
      <c r="O2" s="143">
        <f>IFS(L2="Grupo 0",0,L2="Grupo 1",J2*D42,L2="Grupo 2",J2*D43,L2="Grupo 3",J2*D44,L2="Grupo 4",J2*D45,L2="Grupo 5",J2*D46)</f>
        <v>117.3748359</v>
      </c>
      <c r="P2" s="61">
        <f>(F2+O2)/D41</f>
        <v>0.1097243368</v>
      </c>
      <c r="Q2" s="50"/>
    </row>
    <row r="3">
      <c r="A3" s="62">
        <v>2.0</v>
      </c>
      <c r="B3" s="63" t="s">
        <v>181</v>
      </c>
      <c r="C3" s="27">
        <f>F3*I46</f>
        <v>3012.143389</v>
      </c>
      <c r="D3" s="63">
        <v>2.336</v>
      </c>
      <c r="E3" s="144">
        <f>IFERROR(__xludf.DUMMYFUNCTION("GOOGLEFINANCE(B3)"),244.96)</f>
        <v>244.96</v>
      </c>
      <c r="F3" s="145">
        <f t="shared" si="1"/>
        <v>572.22656</v>
      </c>
      <c r="G3" s="24">
        <f>IFS(L3="Grupo 0",0,L3="Grupo 1",F3/F42,L3="Grupo 2",F3/F43,L3="Grupo 3",F3/F44,L3="Grupo 4",F3/F45,L3="Grupo 5",F3/F46)</f>
        <v>0.314970787</v>
      </c>
      <c r="H3" s="24">
        <f>IFS(L3="Grupo 0",0,L3="Grupo 1",F3/E42,L3="Grupo 2",F3/E43,L3="Grupo 3",F3/E44,L3="Grupo 4",F3/E45,L3="Grupo 5",F3/E46)</f>
        <v>0.2735984848</v>
      </c>
      <c r="I3" s="24">
        <f>IFS(L3="Grupo 0",0,L3="Grupo 1",M3/M42,L3="Grupo 2",M3/M43,L3="Grupo 3",M3/M44,L3="Grupo 4",M3/M45,L3="Grupo 5",M3/M46)</f>
        <v>0.3333333333</v>
      </c>
      <c r="J3" s="67">
        <f>IFS(L3="Grupo 0",0,L3="Grupo 1",K3/K42,L3="Grupo 2",K3/K43,L3="Grupo 3",K3/K44,L3="Grupo 4",K3/K45,L3="Grupo 5",K3/K46)</f>
        <v>0.4547663839</v>
      </c>
      <c r="K3" s="68">
        <f>IFS(L3="Grupo 0",0,L3="Grupo 1",(E42*I3-F3)*N3,L3="Grupo 2",(E43*I3-F3)*N3,L3="Grupo 3",(E44*I3-F3)*N3,L3="Grupo 4",(E45*I3-F3)*N3,L3="Grupo 5",(E46*I3-F3)*N3)</f>
        <v>124.9344159</v>
      </c>
      <c r="L3" s="69" t="s">
        <v>35</v>
      </c>
      <c r="M3" s="69">
        <v>10.0</v>
      </c>
      <c r="N3" s="70">
        <f t="shared" si="2"/>
        <v>1</v>
      </c>
      <c r="O3" s="146">
        <f>IFS(L3="Grupo 0",0,L3="Grupo 1",J3*D42,L3="Grupo 2",J3*D43,L3="Grupo 3",J3*D44,L3="Grupo 4",J3*D45,L3="Grupo 5",J3*D46)</f>
        <v>124.9344159</v>
      </c>
      <c r="P3" s="61">
        <f>(F3+O3)/D41</f>
        <v>0.1097243368</v>
      </c>
      <c r="Q3" s="50"/>
    </row>
    <row r="4">
      <c r="A4" s="51">
        <v>3.0</v>
      </c>
      <c r="B4" s="76" t="s">
        <v>182</v>
      </c>
      <c r="C4" s="53">
        <f>F4*I46</f>
        <v>3499.167208</v>
      </c>
      <c r="D4" s="52">
        <v>21.738</v>
      </c>
      <c r="E4" s="141">
        <f>IFERROR(__xludf.DUMMYFUNCTION("GOOGLEFINANCE(B4)"),30.58)</f>
        <v>30.58</v>
      </c>
      <c r="F4" s="142">
        <f t="shared" si="1"/>
        <v>664.74804</v>
      </c>
      <c r="G4" s="55">
        <f>IFS(L4="Grupo 0",0,L4="Grupo 1",F4/F42,L4="Grupo 2",F4/F43,L4="Grupo 3",F4/F44,L4="Grupo 4",F4/F45,L4="Grupo 5",F4/F46)</f>
        <v>0.3658974049</v>
      </c>
      <c r="H4" s="55">
        <f>IFS(L4="Grupo 0",0,L4="Grupo 1",F4/E42,L4="Grupo 2",F4/E43,L4="Grupo 3",F4/E44,L4="Grupo 4",F4/E45,L4="Grupo 5",F4/E46)</f>
        <v>0.3178357476</v>
      </c>
      <c r="I4" s="55">
        <f>IFS(L4="Grupo 0",0,L4="Grupo 1",M4/M42,L4="Grupo 2",M4/M43,L4="Grupo 3",M4/M44,L4="Grupo 4",M4/M45,L4="Grupo 5",M4/M46)</f>
        <v>0.3333333333</v>
      </c>
      <c r="J4" s="56">
        <f>IFS(L4="Grupo 0",0,L4="Grupo 1",K4/K42,L4="Grupo 2",K4/K43,L4="Grupo 3",K4/K44,L4="Grupo 4",K4/K45,L4="Grupo 5",K4/K46)</f>
        <v>0.1179844125</v>
      </c>
      <c r="K4" s="57">
        <f>IFS(L4="Grupo 0",0,L4="Grupo 1",(E42*I4-F4)*N4,L4="Grupo 2",(E43*I4-F4)*N4,L4="Grupo 3",(E44*I4-F4)*N4,L4="Grupo 4",(E45*I4-F4)*N4,L4="Grupo 5",(E46*I4-F4)*N4)</f>
        <v>32.41293595</v>
      </c>
      <c r="L4" s="58" t="s">
        <v>35</v>
      </c>
      <c r="M4" s="58">
        <v>10.0</v>
      </c>
      <c r="N4" s="59">
        <f t="shared" si="2"/>
        <v>1</v>
      </c>
      <c r="O4" s="143">
        <f>IFS(L4="Grupo 0",0,L4="Grupo 1",J4*D42,L4="Grupo 2",J4*D43,L4="Grupo 3",J4*D44,L4="Grupo 4",J4*D45,L4="Grupo 5",J4*D46)</f>
        <v>32.41293595</v>
      </c>
      <c r="P4" s="61">
        <f>(F4+O4)/D41</f>
        <v>0.1097243368</v>
      </c>
      <c r="Q4" s="50"/>
    </row>
    <row r="5">
      <c r="A5" s="73">
        <v>4.0</v>
      </c>
      <c r="B5" s="63" t="s">
        <v>183</v>
      </c>
      <c r="C5" s="27">
        <f>F5*I46</f>
        <v>1452.476349</v>
      </c>
      <c r="D5" s="63">
        <v>3.745</v>
      </c>
      <c r="E5" s="144">
        <f>IFERROR(__xludf.DUMMYFUNCTION("GOOGLEFINANCE(B5)"),73.68)</f>
        <v>73.68</v>
      </c>
      <c r="F5" s="145">
        <f t="shared" si="1"/>
        <v>275.9316</v>
      </c>
      <c r="G5" s="24">
        <f>IFS(L5="Grupo 0",0,L5="Grupo 1",F5/F42,L5="Grupo 2",F5/F43,L5="Grupo 3",F5/F44,L5="Grupo 4",F5/F45,L5="Grupo 5",F5/F46)</f>
        <v>0.2931279575</v>
      </c>
      <c r="H5" s="24">
        <f>IFS(L5="Grupo 0",0,L5="Grupo 1",F5/E42,L5="Grupo 2",F5/E43,L5="Grupo 3",F5/E44,L5="Grupo 4",F5/E45,L5="Grupo 5",F5/E46)</f>
        <v>0.2565086658</v>
      </c>
      <c r="I5" s="24">
        <f>IFS(L5="Grupo 0",0,L5="Grupo 1",M5/M42,L5="Grupo 2",M5/M43,L5="Grupo 3",M5/M44,L5="Grupo 4",M5/M45,L5="Grupo 5",M5/M46)</f>
        <v>0.3125</v>
      </c>
      <c r="J5" s="67">
        <f>IFS(L5="Grupo 0",0,L5="Grupo 1",K5/K42,L5="Grupo 2",K5/K43,L5="Grupo 3",K5/K44,L5="Grupo 4",K5/K45,L5="Grupo 5",K5/K46)</f>
        <v>0.4481961466</v>
      </c>
      <c r="K5" s="68">
        <f>IFS(L5="Grupo 0",0,L5="Grupo 1",(E42*I5-F5)*N5,L5="Grupo 2",(E43*I5-F5)*N5,L5="Grupo 3",(E44*I5-F5)*N5,L5="Grupo 4",(E45*I5-F5)*N5,L5="Grupo 5",(E46*I5-F5)*N5)</f>
        <v>60.23101946</v>
      </c>
      <c r="L5" s="69" t="s">
        <v>38</v>
      </c>
      <c r="M5" s="69">
        <v>10.0</v>
      </c>
      <c r="N5" s="70">
        <f t="shared" si="2"/>
        <v>1</v>
      </c>
      <c r="O5" s="146">
        <f>IFS(L5="Grupo 0",0,L5="Grupo 1",J5*D42,L5="Grupo 2",J5*D43,L5="Grupo 3",J5*D44,L5="Grupo 4",J5*D45,L5="Grupo 5",J5*D46)</f>
        <v>60.23101946</v>
      </c>
      <c r="P5" s="61">
        <f>(F5+O5)/D41</f>
        <v>0.05290775268</v>
      </c>
      <c r="Q5" s="50"/>
    </row>
    <row r="6">
      <c r="A6" s="51">
        <v>5.0</v>
      </c>
      <c r="B6" s="52" t="s">
        <v>184</v>
      </c>
      <c r="C6" s="53">
        <f>F6*I46</f>
        <v>1759.823258</v>
      </c>
      <c r="D6" s="52">
        <v>3.669</v>
      </c>
      <c r="E6" s="141">
        <f>IFERROR(__xludf.DUMMYFUNCTION("GOOGLEFINANCE(B6)"),91.12)</f>
        <v>91.12</v>
      </c>
      <c r="F6" s="142">
        <f t="shared" si="1"/>
        <v>334.31928</v>
      </c>
      <c r="G6" s="55">
        <f>IFS(L6="Grupo 0",0,L6="Grupo 1",F6/F42,L6="Grupo 2",F6/F43,L6="Grupo 3",F6/F44,L6="Grupo 4",F6/F45,L6="Grupo 5",F6/F46)</f>
        <v>0.3551544212</v>
      </c>
      <c r="H6" s="55">
        <f>IFS(L6="Grupo 0",0,L6="Grupo 1",F6/E42,L6="Grupo 2",F6/E43,L6="Grupo 3",F6/E44,L6="Grupo 4",F6/E45,L6="Grupo 5",F6/E46)</f>
        <v>0.3107864139</v>
      </c>
      <c r="I6" s="55">
        <f>IFS(L6="Grupo 0",0,L6="Grupo 1",M6/M42,L6="Grupo 2",M6/M43,L6="Grupo 3",M6/M44,L6="Grupo 4",M6/M45,L6="Grupo 5",M6/M46)</f>
        <v>0.3125</v>
      </c>
      <c r="J6" s="56">
        <f>IFS(L6="Grupo 0",0,L6="Grupo 1",K6/K42,L6="Grupo 2",K6/K43,L6="Grupo 3",K6/K44,L6="Grupo 4",K6/K45,L6="Grupo 5",K6/K46)</f>
        <v>0.01371681321</v>
      </c>
      <c r="K6" s="57">
        <f>IFS(L6="Grupo 0",0,L6="Grupo 1",(E42*I6-F6)*N6,L6="Grupo 2",(E43*I6-F6)*N6,L6="Grupo 3",(E44*I6-F6)*N6,L6="Grupo 4",(E45*I6-F6)*N6,L6="Grupo 5",(E46*I6-F6)*N6)</f>
        <v>1.843339461</v>
      </c>
      <c r="L6" s="58" t="s">
        <v>38</v>
      </c>
      <c r="M6" s="58">
        <v>10.0</v>
      </c>
      <c r="N6" s="59">
        <f t="shared" si="2"/>
        <v>1</v>
      </c>
      <c r="O6" s="143">
        <f>IFS(L6="Grupo 0",0,L6="Grupo 1",J6*D42,L6="Grupo 2",J6*D43,L6="Grupo 3",J6*D44,L6="Grupo 4",J6*D45,L6="Grupo 5",J6*D46)</f>
        <v>1.843339461</v>
      </c>
      <c r="P6" s="61">
        <f>(F6+O6)/D41</f>
        <v>0.05290775268</v>
      </c>
      <c r="Q6" s="50"/>
    </row>
    <row r="7">
      <c r="A7" s="73">
        <v>6.0</v>
      </c>
      <c r="B7" s="63" t="s">
        <v>185</v>
      </c>
      <c r="C7" s="25">
        <f>F7*I46</f>
        <v>1169.927568</v>
      </c>
      <c r="D7" s="63">
        <v>8.29</v>
      </c>
      <c r="E7" s="144">
        <f>IFERROR(__xludf.DUMMYFUNCTION("GOOGLEFINANCE(B7)"),26.81)</f>
        <v>26.81</v>
      </c>
      <c r="F7" s="145">
        <f t="shared" si="1"/>
        <v>222.2549</v>
      </c>
      <c r="G7" s="24">
        <f>IFS(L7="Grupo 0",0,L7="Grupo 1",F7/F42,L7="Grupo 2",F7/F43,L7="Grupo 3",F7/F44,L7="Grupo 4",F7/F45,L7="Grupo 5",F7/F46)</f>
        <v>0.2361060672</v>
      </c>
      <c r="H7" s="24">
        <f>IFS(L7="Grupo 0",0,L7="Grupo 1",F7/E42,L7="Grupo 2",F7/E43,L7="Grupo 3",F7/E44,L7="Grupo 4",F7/E45,L7="Grupo 5",F7/E46)</f>
        <v>0.2066102899</v>
      </c>
      <c r="I7" s="24">
        <f>IFS(L7="Grupo 0",0,L7="Grupo 1",M7/M42,L7="Grupo 2",M7/M43,L7="Grupo 3",M7/M44,L7="Grupo 4",M7/M45,L7="Grupo 5",M7/M46)</f>
        <v>0.25</v>
      </c>
      <c r="J7" s="67">
        <f>IFS(L7="Grupo 0",0,L7="Grupo 1",K7/K42,L7="Grupo 2",K7/K43,L7="Grupo 3",K7/K44,L7="Grupo 4",K7/K45,L7="Grupo 5",K7/K46)</f>
        <v>0.3473234055</v>
      </c>
      <c r="K7" s="68">
        <f>IFS(L7="Grupo 0",0,L7="Grupo 1",(E42*I7-F7)*N7,L7="Grupo 2",(E43*I7-F7)*N7,L7="Grupo 3",(E44*I7-F7)*N7,L7="Grupo 4",(E45*I7-F7)*N7,L7="Grupo 5",(E46*I7-F7)*N7)</f>
        <v>46.67519557</v>
      </c>
      <c r="L7" s="69" t="s">
        <v>38</v>
      </c>
      <c r="M7" s="69">
        <v>8.0</v>
      </c>
      <c r="N7" s="70">
        <f t="shared" si="2"/>
        <v>1</v>
      </c>
      <c r="O7" s="146">
        <f>IFS(L7="Grupo 0",0,L7="Grupo 1",J7*D42,L7="Grupo 2",J7*D43,L7="Grupo 3",J7*D44,L7="Grupo 4",J7*D45,L7="Grupo 5",J7*D46)</f>
        <v>46.67519557</v>
      </c>
      <c r="P7" s="61">
        <f>(F7+O7)/D41</f>
        <v>0.04232620214</v>
      </c>
      <c r="Q7" s="50"/>
    </row>
    <row r="8">
      <c r="A8" s="51">
        <v>7.0</v>
      </c>
      <c r="B8" s="52" t="s">
        <v>186</v>
      </c>
      <c r="C8" s="53">
        <f>F8*I46</f>
        <v>572.8660259</v>
      </c>
      <c r="D8" s="52">
        <v>4.076</v>
      </c>
      <c r="E8" s="141">
        <f>IFERROR(__xludf.DUMMYFUNCTION("GOOGLEFINANCE(B8)"),26.7)</f>
        <v>26.7</v>
      </c>
      <c r="F8" s="142">
        <f t="shared" si="1"/>
        <v>108.8292</v>
      </c>
      <c r="G8" s="55">
        <f>IFS(L8="Grupo 0",0,L8="Grupo 1",F8/F42,L8="Grupo 2",F8/F43,L8="Grupo 3",F8/F44,L8="Grupo 4",F8/F45,L8="Grupo 5",F8/F46)</f>
        <v>0.1156115541</v>
      </c>
      <c r="H8" s="55">
        <f>IFS(L8="Grupo 0",0,L8="Grupo 1",F8/E42,L8="Grupo 2",F8/E43,L8="Grupo 3",F8/E44,L8="Grupo 4",F8/E45,L8="Grupo 5",F8/E46)</f>
        <v>0.1011686697</v>
      </c>
      <c r="I8" s="55">
        <f>IFS(L8="Grupo 0",0,L8="Grupo 1",M8/M42,L8="Grupo 2",M8/M43,L8="Grupo 3",M8/M44,L8="Grupo 4",M8/M45,L8="Grupo 5",M8/M46)</f>
        <v>0.125</v>
      </c>
      <c r="J8" s="56">
        <f>IFS(L8="Grupo 0",0,L8="Grupo 1",K8/K42,L8="Grupo 2",K8/K43,L8="Grupo 3",K8/K44,L8="Grupo 4",K8/K45,L8="Grupo 5",K8/K46)</f>
        <v>0.1907636347</v>
      </c>
      <c r="K8" s="57">
        <f>IFS(L8="Grupo 0",0,L8="Grupo 1",(E42*I8-F8)*N8,L8="Grupo 2",(E43*I8-F8)*N8,L8="Grupo 3",(E44*I8-F8)*N8,L8="Grupo 4",(E45*I8-F8)*N8,L8="Grupo 5",(E46*I8-F8)*N8)</f>
        <v>25.63584778</v>
      </c>
      <c r="L8" s="58" t="s">
        <v>38</v>
      </c>
      <c r="M8" s="58">
        <v>4.0</v>
      </c>
      <c r="N8" s="59">
        <f t="shared" si="2"/>
        <v>1</v>
      </c>
      <c r="O8" s="143">
        <f>IFS(L8="Grupo 0",0,L8="Grupo 1",J8*D42,L8="Grupo 2",J8*D43,L8="Grupo 3",J8*D44,L8="Grupo 4",J8*D45,L8="Grupo 5",J8*D46)</f>
        <v>25.63584778</v>
      </c>
      <c r="P8" s="61">
        <f>(F8+O8)/D41</f>
        <v>0.02116310107</v>
      </c>
      <c r="Q8" s="50"/>
    </row>
    <row r="9">
      <c r="A9" s="73">
        <v>8.0</v>
      </c>
      <c r="B9" s="63"/>
      <c r="C9" s="25">
        <f>F9*I46</f>
        <v>0</v>
      </c>
      <c r="D9" s="63"/>
      <c r="E9" s="144"/>
      <c r="F9" s="145">
        <f t="shared" si="1"/>
        <v>0</v>
      </c>
      <c r="G9" s="24">
        <f>IFS(L9="Grupo 0",0,L9="Grupo 1",F9/F42,L9="Grupo 2",F9/F43,L9="Grupo 3",F9/F44,L9="Grupo 4",F9/F45,L9="Grupo 5",F9/F46)</f>
        <v>0</v>
      </c>
      <c r="H9" s="24">
        <f>IFS(L9="Grupo 0",0,L9="Grupo 1",F9/E42,L9="Grupo 2",F9/E43,L9="Grupo 3",F9/E44,L9="Grupo 4",F9/E45,L9="Grupo 5",F9/E46)</f>
        <v>0</v>
      </c>
      <c r="I9" s="24">
        <f>IFS(L9="Grupo 0",0,L9="Grupo 1",M9/M42,L9="Grupo 2",M9/M43,L9="Grupo 3",M9/M44,L9="Grupo 4",M9/M45,L9="Grupo 5",M9/M46)</f>
        <v>0</v>
      </c>
      <c r="J9" s="67">
        <f>IFS(L9="Grupo 0",0,L9="Grupo 1",K9/K42,L9="Grupo 2",K9/K43,L9="Grupo 3",K9/K44,L9="Grupo 4",K9/K45,L9="Grupo 5",K9/K46)</f>
        <v>0</v>
      </c>
      <c r="K9" s="68">
        <f>IFS(L9="Grupo 0",0,L9="Grupo 1",(E42*I9-F9)*N9,L9="Grupo 2",(E43*I9-F9)*N9,L9="Grupo 3",(E44*I9-F9)*N9,L9="Grupo 4",(E45*I9-F9)*N9,L9="Grupo 5",(E46*I9-F9)*N9)</f>
        <v>0</v>
      </c>
      <c r="L9" s="69" t="s">
        <v>36</v>
      </c>
      <c r="M9" s="69">
        <v>10.0</v>
      </c>
      <c r="N9" s="70">
        <f t="shared" si="2"/>
        <v>1</v>
      </c>
      <c r="O9" s="146">
        <f>IFS(L9="Grupo 0",0,L9="Grupo 1",J9*D42,L9="Grupo 2",J9*D43,L9="Grupo 3",J9*D44,L9="Grupo 4",J9*D45,L9="Grupo 5",J9*D46)</f>
        <v>0</v>
      </c>
      <c r="P9" s="61">
        <f>(F9+O9)/D41</f>
        <v>0</v>
      </c>
      <c r="Q9" s="50"/>
    </row>
    <row r="10">
      <c r="A10" s="51">
        <v>9.0</v>
      </c>
      <c r="B10" s="52" t="s">
        <v>187</v>
      </c>
      <c r="C10" s="53">
        <f>F10*I46</f>
        <v>1289.102843</v>
      </c>
      <c r="D10" s="52">
        <v>10.497</v>
      </c>
      <c r="E10" s="141">
        <f>IFERROR(__xludf.DUMMYFUNCTION("GOOGLEFINANCE(B10)"),23.33)</f>
        <v>23.33</v>
      </c>
      <c r="F10" s="142">
        <f t="shared" si="1"/>
        <v>244.89501</v>
      </c>
      <c r="G10" s="55">
        <f>IFS(L10="Grupo 0",0,L10="Grupo 1",F10/F42,L10="Grupo 2",F10/F43,L10="Grupo 3",F10/F44,L10="Grupo 4",F10/F45,L10="Grupo 5",F10/F46)</f>
        <v>0.2830314714</v>
      </c>
      <c r="H10" s="55">
        <f>IFS(L10="Grupo 0",0,L10="Grupo 1",F10/E42,L10="Grupo 2",F10/E43,L10="Grupo 3",F10/E44,L10="Grupo 4",F10/E45,L10="Grupo 5",F10/E46)</f>
        <v>0.2433105364</v>
      </c>
      <c r="I10" s="55">
        <f>IFS(L10="Grupo 0",0,L10="Grupo 1",M10/M42,L10="Grupo 2",M10/M43,L10="Grupo 3",M10/M44,L10="Grupo 4",M10/M45,L10="Grupo 5",M10/M46)</f>
        <v>0.2857142857</v>
      </c>
      <c r="J10" s="56">
        <f>IFS(L10="Grupo 0",0,L10="Grupo 1",K10/K42,L10="Grupo 2",K10/K43,L10="Grupo 3",K10/K44,L10="Grupo 4",K10/K45,L10="Grupo 5",K10/K46)</f>
        <v>0.3021478611</v>
      </c>
      <c r="K10" s="57">
        <f>IFS(L10="Grupo 0",0,L10="Grupo 1",(E42*I10-F10)*N10,L10="Grupo 2",(E43*I10-F10)*N10,L10="Grupo 3",(E44*I10-F10)*N10,L10="Grupo 4",(E45*I10-F10)*N10,L10="Grupo 5",(E46*I10-F10)*N10)</f>
        <v>42.67988869</v>
      </c>
      <c r="L10" s="58" t="s">
        <v>41</v>
      </c>
      <c r="M10" s="58">
        <v>4.0</v>
      </c>
      <c r="N10" s="59">
        <f t="shared" si="2"/>
        <v>1</v>
      </c>
      <c r="O10" s="143">
        <f>IFS(L10="Grupo 0",0,L10="Grupo 1",J10*D42,L10="Grupo 2",J10*D43,L10="Grupo 3",J10*D44,L10="Grupo 4",J10*D45,L10="Grupo 5",J10*D46)</f>
        <v>42.67988869</v>
      </c>
      <c r="P10" s="61">
        <f>(F10+O10)/D41</f>
        <v>0.04526065879</v>
      </c>
      <c r="Q10" s="50"/>
    </row>
    <row r="11">
      <c r="A11" s="73">
        <v>10.0</v>
      </c>
      <c r="B11" s="63" t="s">
        <v>188</v>
      </c>
      <c r="C11" s="27">
        <f>F11*I46</f>
        <v>3265.524374</v>
      </c>
      <c r="D11" s="63">
        <v>6.746</v>
      </c>
      <c r="E11" s="144">
        <f>IFERROR(__xludf.DUMMYFUNCTION("GOOGLEFINANCE(B11)"),91.96)</f>
        <v>91.96</v>
      </c>
      <c r="F11" s="145">
        <f t="shared" si="1"/>
        <v>620.36216</v>
      </c>
      <c r="G11" s="24">
        <f>IFS(L11="Grupo 0",0,L11="Grupo 1",F11/F42,L11="Grupo 2",F11/F43,L11="Grupo 3",F11/F44,L11="Grupo 4",F11/F45,L11="Grupo 5",F11/F46)</f>
        <v>0.7169685286</v>
      </c>
      <c r="H11" s="24">
        <f>IFS(L11="Grupo 0",0,L11="Grupo 1",F11/E42,L11="Grupo 2",F11/E43,L11="Grupo 3",F11/E44,L11="Grupo 4",F11/E45,L11="Grupo 5",F11/E46)</f>
        <v>0.6163484095</v>
      </c>
      <c r="I11" s="24">
        <f>IFS(L11="Grupo 0",0,L11="Grupo 1",M11/M42,L11="Grupo 2",M11/M43,L11="Grupo 3",M11/M44,L11="Grupo 4",M11/M45,L11="Grupo 5",M11/M46)</f>
        <v>0.7142857143</v>
      </c>
      <c r="J11" s="67">
        <f>IFS(L11="Grupo 0",0,L11="Grupo 1",K11/K42,L11="Grupo 2",K11/K43,L11="Grupo 3",K11/K44,L11="Grupo 4",K11/K45,L11="Grupo 5",K11/K46)</f>
        <v>0.6978521389</v>
      </c>
      <c r="K11" s="68">
        <f>IFS(L11="Grupo 0",0,L11="Grupo 1",(E42*I11-F11)*N11,L11="Grupo 2",(E43*I11-F11)*N11,L11="Grupo 3",(E44*I10-F11)*N11,L11="Grupo 4",(E45*I11-F11)*N11,L11="Grupo 5",(E46*I11-F11)*N11)</f>
        <v>98.57508672</v>
      </c>
      <c r="L11" s="69" t="s">
        <v>41</v>
      </c>
      <c r="M11" s="69">
        <v>10.0</v>
      </c>
      <c r="N11" s="70">
        <f t="shared" si="2"/>
        <v>1</v>
      </c>
      <c r="O11" s="146">
        <f>IFS(L11="Grupo 0",0,L11="Grupo 1",J11*D42,L11="Grupo 2",J11*D43,L11="Grupo 3",J11*D44,L11="Grupo 4",J11*D45,L11="Grupo 5",J11*D46)</f>
        <v>98.57508672</v>
      </c>
      <c r="P11" s="61">
        <f>(F11+O11)/D41</f>
        <v>0.113151647</v>
      </c>
      <c r="Q11" s="50"/>
    </row>
    <row r="12" ht="15.0" customHeight="1">
      <c r="A12" s="51">
        <v>11.0</v>
      </c>
      <c r="B12" s="52"/>
      <c r="C12" s="53">
        <f>F12*I46</f>
        <v>0</v>
      </c>
      <c r="D12" s="52"/>
      <c r="E12" s="147"/>
      <c r="F12" s="142">
        <f t="shared" si="1"/>
        <v>0</v>
      </c>
      <c r="G12" s="55">
        <f>IFS(L12="Grupo 0",0,L12="Grupo 1",F12/F42,L12="Grupo 2",F12/F43,L12="Grupo 3",F12/F44,L12="Grupo 4",F12/F45,L12="Grupo 5",F12/F46)</f>
        <v>0</v>
      </c>
      <c r="H12" s="55">
        <f>IFS(L12="Grupo 0",0,L12="Grupo 1",F12/E42,L12="Grupo 2",F12/E43,L12="Grupo 3",F12/E44,L12="Grupo 4",F12/E45,L12="Grupo 5",F12/E46)</f>
        <v>0</v>
      </c>
      <c r="I12" s="55">
        <f>IFS(L12="Grupo 0",0,L12="Grupo 1",M12/M42,L12="Grupo 2",M12/M43,L12="Grupo 3",M12/M44,L12="Grupo 4",M12/M45,L12="Grupo 5",M12/M46)</f>
        <v>0</v>
      </c>
      <c r="J12" s="56">
        <f>IFS(L12="Grupo 0",0,L12="Grupo 1",K12/K42,L12="Grupo 2",K12/K43,L12="Grupo 3",K12/K44,L12="Grupo 4",K12/K45,L12="Grupo 5",K12/K46)</f>
        <v>0</v>
      </c>
      <c r="K12" s="57">
        <f>IFS(L12="Grupo 0",0,L12="Grupo 1",(E42*I12-F12)*N12,L12="Grupo 2",(E43*I12-F12)*N12,L12="Grupo 3",(E44*I12-F12)*N12,L12="Grupo 4",(E45*I12-F12)*N12,L12="Grupo 5",(E46*I12-F12)*N12)</f>
        <v>0</v>
      </c>
      <c r="L12" s="58" t="s">
        <v>36</v>
      </c>
      <c r="M12" s="58"/>
      <c r="N12" s="59">
        <f t="shared" si="2"/>
        <v>1</v>
      </c>
      <c r="O12" s="143">
        <f>IFS(L12="Grupo 0",0,L12="Grupo 1",J12*D42,L12="Grupo 2",J12*D43,L12="Grupo 3",J12*D44,L12="Grupo 4",J12*D45,L12="Grupo 5",J12*D46)</f>
        <v>0</v>
      </c>
      <c r="P12" s="61">
        <f>(F12+O12)/D41</f>
        <v>0</v>
      </c>
      <c r="Q12" s="50"/>
    </row>
    <row r="13">
      <c r="A13" s="73">
        <v>12.0</v>
      </c>
      <c r="B13" s="79"/>
      <c r="C13" s="82">
        <f>F13*I46</f>
        <v>0</v>
      </c>
      <c r="D13" s="81"/>
      <c r="E13" s="148"/>
      <c r="F13" s="145">
        <f t="shared" si="1"/>
        <v>0</v>
      </c>
      <c r="G13" s="24">
        <f>IFS(L13="Grupo 0",0,L13="Grupo 1",F13/F42,L13="Grupo 2",F13/F43,L13="Grupo 3",F13/F44,L13="Grupo 4",F13/F45,L13="Grupo 5",F13/F46)</f>
        <v>0</v>
      </c>
      <c r="H13" s="24">
        <f>IFS(L13="Grupo 0",0,L13="Grupo 1",F13/E42,L13="Grupo 2",F13/E43,L13="Grupo 3",F13/E44,L13="Grupo 4",F13/E45,L13="Grupo 5",F13/E46)</f>
        <v>0</v>
      </c>
      <c r="I13" s="24">
        <f>IFS(L13="Grupo 0",0,L13="Grupo 1",M13/M42,L13="Grupo 2",M13/M43,L13="Grupo 3",M13/M44,L13="Grupo 4",M13/M45,L13="Grupo 5",M13/M46)</f>
        <v>0</v>
      </c>
      <c r="J13" s="67">
        <f>IFS(L13="Grupo 0",0,L13="Grupo 1",K13/K42,L13="Grupo 2",K13/K43,L13="Grupo 3",K13/K44,L13="Grupo 4",K13/K45,L13="Grupo 5",K13/K46)</f>
        <v>0</v>
      </c>
      <c r="K13" s="68">
        <f>IFS(L13="Grupo 0",0,L13="Grupo 1",(E42*I13-F13)*N13,L13="Grupo 2",(E43*I13-F13)*N13,L13="Grupo 3",(E44*I13-F13)*N13,L13="Grupo 4",(E45*I13-F13)*N13,L13="Grupo 5",(E46*I13-F13)*N13)</f>
        <v>0</v>
      </c>
      <c r="L13" s="69" t="s">
        <v>36</v>
      </c>
      <c r="M13" s="69">
        <v>10.0</v>
      </c>
      <c r="N13" s="70">
        <f t="shared" si="2"/>
        <v>1</v>
      </c>
      <c r="O13" s="146">
        <f>IFS(L13="Grupo 0",0,L13="Grupo 1",J13*D42,L13="Grupo 2",J13*D43,L13="Grupo 3",J13*D44,L13="Grupo 4",J13*D45,L13="Grupo 5",J13*D46)</f>
        <v>0</v>
      </c>
      <c r="P13" s="61">
        <f>(F13+O13)/D41</f>
        <v>0</v>
      </c>
      <c r="Q13" s="50"/>
    </row>
    <row r="14">
      <c r="A14" s="51">
        <v>13.0</v>
      </c>
      <c r="B14" s="52" t="s">
        <v>189</v>
      </c>
      <c r="C14" s="53">
        <f>F14*I46</f>
        <v>1914.693934</v>
      </c>
      <c r="D14" s="52">
        <v>9.272</v>
      </c>
      <c r="E14" s="141">
        <f>IFERROR(__xludf.DUMMYFUNCTION("GOOGLEFINANCE(B14)"),39.23)</f>
        <v>39.23</v>
      </c>
      <c r="F14" s="142">
        <f t="shared" si="1"/>
        <v>363.74056</v>
      </c>
      <c r="G14" s="55">
        <f>IFS(L14="Grupo 0",0,L14="Grupo 1",F14/F42,L14="Grupo 2",F14/F43,L14="Grupo 3",F14/F44,L14="Grupo 4",F14/F45,L14="Grupo 5",F14/F46)</f>
        <v>0.3944741259</v>
      </c>
      <c r="H14" s="55">
        <f>IFS(L14="Grupo 0",0,L14="Grupo 1",F14/E42,L14="Grupo 2",F14/E43,L14="Grupo 3",F14/E44,L14="Grupo 4",F14/E45,L14="Grupo 5",F14/E46)</f>
        <v>0.3437309633</v>
      </c>
      <c r="I14" s="55">
        <f>IFS(L14="Grupo 0",0,L14="Grupo 1",M14/M42,L14="Grupo 2",M14/M43,L14="Grupo 3",M14/M44,L14="Grupo 4",M14/M45,L14="Grupo 5",M14/M46)</f>
        <v>0.375</v>
      </c>
      <c r="J14" s="56">
        <f>IFS(L14="Grupo 0",0,L14="Grupo 1",K14/K42,L14="Grupo 2",K14/K43,L14="Grupo 3",K14/K44,L14="Grupo 4",K14/K45,L14="Grupo 5",K14/K46)</f>
        <v>0.243083507</v>
      </c>
      <c r="K14" s="57">
        <f>IFS(L14="Grupo 0",0,L14="Grupo 1",(E42*I14-F14)*N14,L14="Grupo 2",(E43*I14-F14)*N14,L14="Grupo 3",(E44*I14-F14)*N14,L14="Grupo 4",(E45*I14-F14)*N14,L14="Grupo 5",(E46*I14-F14)*N14)</f>
        <v>33.08929993</v>
      </c>
      <c r="L14" s="58" t="s">
        <v>110</v>
      </c>
      <c r="M14" s="58">
        <v>6.0</v>
      </c>
      <c r="N14" s="59">
        <f t="shared" si="2"/>
        <v>1</v>
      </c>
      <c r="O14" s="143">
        <f>IFS(L14="Grupo 0",0,L14="Grupo 1",J14*D42,L14="Grupo 2",J14*D43,L14="Grupo 3",J14*D44,L14="Grupo 4",J14*D45,L14="Grupo 5",J14*D46)</f>
        <v>33.08929993</v>
      </c>
      <c r="P14" s="61">
        <f>(F14+O14)/D41</f>
        <v>0.06245601048</v>
      </c>
      <c r="Q14" s="50"/>
    </row>
    <row r="15">
      <c r="A15" s="73">
        <v>14.0</v>
      </c>
      <c r="B15" s="63" t="s">
        <v>190</v>
      </c>
      <c r="C15" s="27">
        <f>F15*I46</f>
        <v>2939.094459</v>
      </c>
      <c r="D15" s="63">
        <v>10.901</v>
      </c>
      <c r="E15" s="144">
        <f>IFERROR(__xludf.DUMMYFUNCTION("GOOGLEFINANCE(B15)"),51.22)</f>
        <v>51.22</v>
      </c>
      <c r="F15" s="145">
        <f t="shared" si="1"/>
        <v>558.34922</v>
      </c>
      <c r="G15" s="24">
        <f>IFS(L15="Grupo 0",0,L15="Grupo 1",F15/F42,L15="Grupo 2",F15/F43,L15="Grupo 3",F15/F44,L15="Grupo 4",F15/F45,L15="Grupo 5",F15/F46)</f>
        <v>0.6055258741</v>
      </c>
      <c r="H15" s="24">
        <f>IFS(L15="Grupo 0",0,L15="Grupo 1",F15/E42,L15="Grupo 2",F15/E43,L15="Grupo 3",F15/E44,L15="Grupo 4",F15/E45,L15="Grupo 5",F15/E46)</f>
        <v>0.5276340786</v>
      </c>
      <c r="I15" s="24">
        <f>IFS(L15="Grupo 0",0,L15="Grupo 1",M15/M42,L15="Grupo 2",M15/M43,L15="Grupo 3",M15/M44,L15="Grupo 4",M15/M45,L15="Grupo 5",M15/M46)</f>
        <v>0.625</v>
      </c>
      <c r="J15" s="67">
        <f>IFS(L15="Grupo 0",0,L15="Grupo 1",K15/K42,L15="Grupo 2",K15/K43,L15="Grupo 3",K15/K44,L15="Grupo 4",K15/K45,L15="Grupo 5",K15/K46)</f>
        <v>0.756916493</v>
      </c>
      <c r="K15" s="68">
        <f>IFS(L15="Grupo 0",0,L15="Grupo 1",(E42*I15-F15)*N15,L15="Grupo 2",(E43*I15-F15)*N15,L15="Grupo 3",(E44*I15-F15)*N15,L15="Grupo 4",(E45*I15-F15)*N15,L15="Grupo 5",(E46*I15-F15)*N15)</f>
        <v>103.0338799</v>
      </c>
      <c r="L15" s="69" t="s">
        <v>110</v>
      </c>
      <c r="M15" s="69">
        <v>10.0</v>
      </c>
      <c r="N15" s="70">
        <f t="shared" si="2"/>
        <v>1</v>
      </c>
      <c r="O15" s="146">
        <f>IFS(L15="Grupo 0",0,L15="Grupo 1",J15*D42,L15="Grupo 2",J15*D43,L15="Grupo 3",J15*D44,L15="Grupo 4",J15*D45,L15="Grupo 5",J15*D46)</f>
        <v>103.0338799</v>
      </c>
      <c r="P15" s="61">
        <f>(F15+O15)/D41</f>
        <v>0.1040933508</v>
      </c>
      <c r="Q15" s="50"/>
    </row>
    <row r="16">
      <c r="A16" s="51">
        <v>15.0</v>
      </c>
      <c r="B16" s="52"/>
      <c r="C16" s="53">
        <f>F16*I46</f>
        <v>0</v>
      </c>
      <c r="D16" s="52"/>
      <c r="E16" s="147"/>
      <c r="F16" s="142">
        <f t="shared" si="1"/>
        <v>0</v>
      </c>
      <c r="G16" s="55">
        <f>IFS(L16="Grupo 0",0,L16="Grupo 1",F16/F42,L16="Grupo 2",F16/F43,L16="Grupo 3",F16/F44,L16="Grupo 4",F16/F45,L16="Grupo 5",F16/F46)</f>
        <v>0</v>
      </c>
      <c r="H16" s="55">
        <f>IFS(L16="Grupo 0",0,L16="Grupo 1",F16/E42,L16="Grupo 2",F16/E43,L16="Grupo 3",F16/E44,L16="Grupo 4",F16/E45,L16="Grupo 5",F16/E46)</f>
        <v>0</v>
      </c>
      <c r="I16" s="55">
        <f>IFS(L16="Grupo 0",0,L16="Grupo 1",M16/M42,L16="Grupo 2",M16/M43,L16="Grupo 3",M16/M44,L16="Grupo 4",M16/M45,L16="Grupo 5",M16/M46)</f>
        <v>0</v>
      </c>
      <c r="J16" s="56">
        <f>IFS(L16="Grupo 0",0,L16="Grupo 1",K16/K42,L16="Grupo 2",K16/K43,L16="Grupo 3",K16/K44,L16="Grupo 4",K16/K45,L16="Grupo 5",K16/K46)</f>
        <v>0</v>
      </c>
      <c r="K16" s="57">
        <f>IFS(L16="Grupo 0",0,L16="Grupo 1",(E42*I16-F16)*N16,L16="Grupo 2",(E43*I16-F16)*N16,L16="Grupo 3",(E44*I16-F16)*N16,L16="Grupo 4",(E45*I16-F16)*N16,L16="Grupo 5",(E46*I16-F16)*N16)</f>
        <v>0</v>
      </c>
      <c r="L16" s="58" t="s">
        <v>36</v>
      </c>
      <c r="M16" s="58"/>
      <c r="N16" s="59">
        <f t="shared" si="2"/>
        <v>1</v>
      </c>
      <c r="O16" s="143">
        <f>IFS(L16="Grupo 0",0,L16="Grupo 1",J16*D42,L16="Grupo 2",J16*D43,L16="Grupo 3",J16*D44,L16="Grupo 4",J16*D45,L16="Grupo 5",J16*D46)</f>
        <v>0</v>
      </c>
      <c r="P16" s="61">
        <f>(F16+O16)/D41</f>
        <v>0</v>
      </c>
      <c r="Q16" s="50"/>
    </row>
    <row r="17">
      <c r="A17" s="73">
        <v>16.0</v>
      </c>
      <c r="B17" s="63"/>
      <c r="C17" s="27">
        <f>F17*I46</f>
        <v>0</v>
      </c>
      <c r="D17" s="63"/>
      <c r="E17" s="149"/>
      <c r="F17" s="145">
        <f t="shared" si="1"/>
        <v>0</v>
      </c>
      <c r="G17" s="24">
        <f>IFS(L17="Grupo 0",0,L17="Grupo 1",F17/F42,L17="Grupo 2",F17/F43,L17="Grupo 3",F17/F44,L17="Grupo 4",F17/F45,L17="Grupo 5",F17/F46)</f>
        <v>0</v>
      </c>
      <c r="H17" s="24">
        <f>IFS(L17="Grupo 0",0,L17="Grupo 1",F17/E42,L17="Grupo 2",F17/E43,L17="Grupo 3",F17/E44,L17="Grupo 4",F17/E45,L17="Grupo 5",F17/E46)</f>
        <v>0</v>
      </c>
      <c r="I17" s="24">
        <f>IFS(L17="Grupo 0",0,L17="Grupo 1",M17/M42,L17="Grupo 2",M17/M43,L17="Grupo 3",M17/M44,L17="Grupo 4",M17/M45,L17="Grupo 5",M17/M46)</f>
        <v>0</v>
      </c>
      <c r="J17" s="67">
        <f>IFS(L17="Grupo 0",0,L17="Grupo 1",K17/K42,L17="Grupo 2",K17/K43,L17="Grupo 3",K17/K44,L17="Grupo 4",K17/K45,L17="Grupo 5",K17/K46)</f>
        <v>0</v>
      </c>
      <c r="K17" s="68">
        <f>IFS(L17="Grupo 0",0,L17="Grupo 1",(E42*I17-F17)*N17,L17="Grupo 2",(E43*I17-F17)*N17,L17="Grupo 3",(E44*I17-F17)*N17,L17="Grupo 4",(E45*I17-F17)*N17,L17="Grupo 5",(E46*I17-F17)*N17)</f>
        <v>0</v>
      </c>
      <c r="L17" s="69" t="s">
        <v>36</v>
      </c>
      <c r="M17" s="69"/>
      <c r="N17" s="70">
        <f t="shared" si="2"/>
        <v>1</v>
      </c>
      <c r="O17" s="146">
        <f>IFS(L17="Grupo 0",0,L17="Grupo 1",J17*D42,L17="Grupo 2",J17*D43,L17="Grupo 3",J17*D44,L17="Grupo 4",J17*D45,L17="Grupo 5",J17*D46)</f>
        <v>0</v>
      </c>
      <c r="P17" s="61">
        <f>(F17+O17)/D41</f>
        <v>0</v>
      </c>
      <c r="Q17" s="50"/>
    </row>
    <row r="18">
      <c r="A18" s="51">
        <v>17.0</v>
      </c>
      <c r="B18" s="52"/>
      <c r="C18" s="53">
        <f>F18*I46</f>
        <v>0</v>
      </c>
      <c r="D18" s="52"/>
      <c r="E18" s="147"/>
      <c r="F18" s="142">
        <f t="shared" si="1"/>
        <v>0</v>
      </c>
      <c r="G18" s="55">
        <f>IFS(L18="Grupo 0",0,L18="Grupo 1",F18/F42,L18="Grupo 2",F18/F43,L18="Grupo 3",F18/F44,L18="Grupo 4",F18/F45,L18="Grupo 5",F18/F46)</f>
        <v>0</v>
      </c>
      <c r="H18" s="55">
        <f>IFS(L18="Grupo 0",0,L18="Grupo 1",F18/E42,L18="Grupo 2",F18/E43,L18="Grupo 3",F18/E44,L18="Grupo 4",F18/E45,L18="Grupo 5",F18/E46)</f>
        <v>0</v>
      </c>
      <c r="I18" s="55">
        <f>IFS(L18="Grupo 0",0,L18="Grupo 1",M18/M42,L18="Grupo 2",M18/M43,L18="Grupo 3",M18/M44,L18="Grupo 4",M18/M45,L18="Grupo 5",M18/M46)</f>
        <v>0</v>
      </c>
      <c r="J18" s="56">
        <f>IFS(L18="Grupo 0",0,L18="Grupo 1",K18/K42,L18="Grupo 2",K18/K43,L18="Grupo 3",K18/K44,L18="Grupo 4",K18/K45,L18="Grupo 5",K18/K46)</f>
        <v>0</v>
      </c>
      <c r="K18" s="57">
        <f>IFS(L18="Grupo 0",0,L18="Grupo 1",(E42*I18-F18)*N18,L18="Grupo 2",(E43*I18-F18)*N18,L18="Grupo 3",(E44*I18-F18)*N18,L18="Grupo 4",(E45*I18-F18)*N18,L18="Grupo 5",(E46*I18-F18)*N18)</f>
        <v>0</v>
      </c>
      <c r="L18" s="58" t="s">
        <v>36</v>
      </c>
      <c r="M18" s="58"/>
      <c r="N18" s="59">
        <f t="shared" si="2"/>
        <v>1</v>
      </c>
      <c r="O18" s="143">
        <f>IFS(L18="Grupo 0",0,L18="Grupo 1",J18*D42,L18="Grupo 2",J18*D43,L18="Grupo 3",J18*D44,L18="Grupo 4",J18*D45,L18="Grupo 5",J18*D46)</f>
        <v>0</v>
      </c>
      <c r="P18" s="61">
        <f>(F18+O18)/D41</f>
        <v>0</v>
      </c>
      <c r="Q18" s="50"/>
    </row>
    <row r="19" ht="15.0" customHeight="1">
      <c r="A19" s="73">
        <v>18.0</v>
      </c>
      <c r="B19" s="63" t="s">
        <v>191</v>
      </c>
      <c r="C19" s="27">
        <f>F19*I46</f>
        <v>1057.540145</v>
      </c>
      <c r="D19" s="63">
        <v>8.754</v>
      </c>
      <c r="E19" s="144">
        <f>IFERROR(__xludf.DUMMYFUNCTION("GOOGLEFINANCE(B19)"),22.95)</f>
        <v>22.95</v>
      </c>
      <c r="F19" s="145">
        <f t="shared" si="1"/>
        <v>200.9043</v>
      </c>
      <c r="G19" s="24">
        <f>IFS(L19="Grupo 0",0,L19="Grupo 1",F19/F42,L19="Grupo 2",F19/F43,L19="Grupo 3",F19/F44,L19="Grupo 4",F19/F45,L19="Grupo 5",F19/F46)</f>
        <v>0.2025220726</v>
      </c>
      <c r="H19" s="24">
        <f>IFS(L19="Grupo 0",0,L19="Grupo 1",F19/E42,L19="Grupo 2",F19/E43,L19="Grupo 3",F19/E44,L19="Grupo 4",F19/E45,L19="Grupo 5",F19/E46)</f>
        <v>0.1790876112</v>
      </c>
      <c r="I19" s="24">
        <f>IFS(L19="Grupo 0",0,L19="Grupo 1",M19/M42,L19="Grupo 2",M19/M43,L19="Grupo 3",M19/M44,L19="Grupo 4",M19/M45,L19="Grupo 5",M19/M46)</f>
        <v>0.243902439</v>
      </c>
      <c r="J19" s="67">
        <f>IFS(L19="Grupo 0",0,L19="Grupo 1",K19/K42,L19="Grupo 2",K19/K43,L19="Grupo 3",K19/K44,L19="Grupo 4",K19/K45,L19="Grupo 5",K19/K46)</f>
        <v>0.4610537906</v>
      </c>
      <c r="K19" s="68">
        <f>IFS(L19="Grupo 0",0,L19="Grupo 1",(E42*I19-F19)*N19,L19="Grupo 2",(E43*I19-F19)*N19,L19="Grupo 3",(E44*I19-F19)*N19,L19="Grupo 4",(E45*I19-F19)*N19,L19="Grupo 5",(E46*I19-F19)*N19)</f>
        <v>72.71065554</v>
      </c>
      <c r="L19" s="69" t="s">
        <v>192</v>
      </c>
      <c r="M19" s="69">
        <v>10.0</v>
      </c>
      <c r="N19" s="70">
        <f t="shared" si="2"/>
        <v>1</v>
      </c>
      <c r="O19" s="146">
        <f>IFS(L19="Grupo 0",0,L19="Grupo 1",J19*D42,L19="Grupo 2",J19*D43,L19="Grupo 3",J19*D44,L19="Grupo 4",J19*D45,L19="Grupo 5",J19*D46)</f>
        <v>59.84913792</v>
      </c>
      <c r="P19" s="61">
        <f>(F19+O19)/D41</f>
        <v>0.04103929945</v>
      </c>
      <c r="Q19" s="50"/>
    </row>
    <row r="20">
      <c r="A20" s="51">
        <v>19.0</v>
      </c>
      <c r="B20" s="52" t="s">
        <v>193</v>
      </c>
      <c r="C20" s="53">
        <f>F20*I46</f>
        <v>1299.066722</v>
      </c>
      <c r="D20" s="52">
        <v>5.758</v>
      </c>
      <c r="E20" s="141">
        <f>IFERROR(__xludf.DUMMYFUNCTION("GOOGLEFINANCE(B20)"),42.86)</f>
        <v>42.86</v>
      </c>
      <c r="F20" s="142">
        <f t="shared" si="1"/>
        <v>246.78788</v>
      </c>
      <c r="G20" s="55">
        <f>IFS(L20="Grupo 0",0,L20="Grupo 1",F20/F42,L20="Grupo 2",F20/F43,L20="Grupo 3",F20/F44,L20="Grupo 4",F20/F45,L20="Grupo 5",F20/F46)</f>
        <v>0.2487751281</v>
      </c>
      <c r="H20" s="55">
        <f>IFS(L20="Grupo 0",0,L20="Grupo 1",F20/E42,L20="Grupo 2",F20/E43,L20="Grupo 3",F20/E44,L20="Grupo 4",F20/E45,L20="Grupo 5",F20/E46)</f>
        <v>0.2199885812</v>
      </c>
      <c r="I20" s="55">
        <f>IFS(L20="Grupo 0",0,L20="Grupo 1",M20/M42,L20="Grupo 2",M20/M43,L20="Grupo 3",M20/M44,L20="Grupo 4",M20/M45,L20="Grupo 5",M20/M46)</f>
        <v>0.1951219512</v>
      </c>
      <c r="J20" s="56">
        <f>IFS(L20="Grupo 0",0,L20="Grupo 1",K20/K42,L20="Grupo 2",K20/K43,L20="Grupo 3",K20/K44,L20="Grupo 4",K20/K45,L20="Grupo 5",K20/K46)</f>
        <v>0</v>
      </c>
      <c r="K20" s="57">
        <f>IFS(L20="Grupo 0",0,L20="Grupo 1",(E42*I20-F20)*N20,L20="Grupo 2",(E43*I20-F20)*N20,L20="Grupo 3",(E44*I20-F20)*N20,L20="Grupo 4",(E45*I20-F20)*N20,L20="Grupo 5",(E46*I20-F20)*N20)</f>
        <v>0</v>
      </c>
      <c r="L20" s="58" t="s">
        <v>192</v>
      </c>
      <c r="M20" s="58">
        <v>8.0</v>
      </c>
      <c r="N20" s="59">
        <f t="shared" si="2"/>
        <v>0</v>
      </c>
      <c r="O20" s="143">
        <f>IFS(L20="Grupo 0",0,L20="Grupo 1",J20*D42,L20="Grupo 2",J20*D43,L20="Grupo 3",J20*D44,L20="Grupo 4",J20*D45,L20="Grupo 5",J20*D46)</f>
        <v>0</v>
      </c>
      <c r="P20" s="61">
        <f>(F20+O20)/D41</f>
        <v>0.03884129693</v>
      </c>
      <c r="Q20" s="50"/>
    </row>
    <row r="21">
      <c r="A21" s="73">
        <v>20.0</v>
      </c>
      <c r="B21" s="63" t="s">
        <v>194</v>
      </c>
      <c r="C21" s="27">
        <f>F21*I46</f>
        <v>1135.940145</v>
      </c>
      <c r="D21" s="63">
        <v>2.18</v>
      </c>
      <c r="E21" s="144">
        <f>IFERROR(__xludf.DUMMYFUNCTION("GOOGLEFINANCE(B21)"),98.99)</f>
        <v>98.99</v>
      </c>
      <c r="F21" s="145">
        <f t="shared" si="1"/>
        <v>215.7982</v>
      </c>
      <c r="G21" s="24">
        <f>IFS(L21="Grupo 0",0,L21="Grupo 1",F21/F42,L21="Grupo 2",F21/F43,L21="Grupo 3",F21/F44,L21="Grupo 4",F21/F45,L21="Grupo 5",F21/F46)</f>
        <v>0.2175359051</v>
      </c>
      <c r="H21" s="24">
        <f>IFS(L21="Grupo 0",0,L21="Grupo 1",F21/E42,L21="Grupo 2",F21/E43,L21="Grupo 3",F21/E44,L21="Grupo 4",F21/E45,L21="Grupo 5",F21/E46)</f>
        <v>0.1923641462</v>
      </c>
      <c r="I21" s="24">
        <f>IFS(L21="Grupo 0",0,L21="Grupo 1",M21/M42,L21="Grupo 2",M21/M43,L21="Grupo 3",M21/M44,L21="Grupo 4",M21/M45,L21="Grupo 5",M21/M46)</f>
        <v>0.2195121951</v>
      </c>
      <c r="J21" s="67">
        <f>IFS(L21="Grupo 0",0,L21="Grupo 1",K21/K42,L21="Grupo 2",K21/K43,L21="Grupo 3",K21/K44,L21="Grupo 4",K21/K45,L21="Grupo 5",K21/K46)</f>
        <v>0.1931149287</v>
      </c>
      <c r="K21" s="68">
        <f>IFS(L21="Grupo 0",0,L21="Grupo 1",(E42*I21-F21)*N21,L21="Grupo 2",(E43*I21-F21)*N21,L21="Grupo 3",(E44*I20-F21)*N21,L21="Grupo 4",(E45*I21-F21)*N21,L21="Grupo 5",(E46*I21-F21)*N21)</f>
        <v>30.45525998</v>
      </c>
      <c r="L21" s="69" t="s">
        <v>192</v>
      </c>
      <c r="M21" s="69">
        <v>9.0</v>
      </c>
      <c r="N21" s="70">
        <f t="shared" si="2"/>
        <v>1</v>
      </c>
      <c r="O21" s="146">
        <f>IFS(L21="Grupo 0",0,L21="Grupo 1",J21*D42,L21="Grupo 2",J21*D43,L21="Grupo 3",J21*D44,L21="Grupo 4",J21*D45,L21="Grupo 5",J21*D46)</f>
        <v>25.06814224</v>
      </c>
      <c r="P21" s="61">
        <f>(F21+O21)/D41</f>
        <v>0.03790932164</v>
      </c>
      <c r="Q21" s="50"/>
    </row>
    <row r="22">
      <c r="A22" s="51">
        <v>21.0</v>
      </c>
      <c r="B22" s="52" t="s">
        <v>195</v>
      </c>
      <c r="C22" s="54">
        <f>F22*I46</f>
        <v>1038.290273</v>
      </c>
      <c r="D22" s="52">
        <v>2.843</v>
      </c>
      <c r="E22" s="141">
        <f>IFERROR(__xludf.DUMMYFUNCTION("GOOGLEFINANCE(B22)"),69.38)</f>
        <v>69.38</v>
      </c>
      <c r="F22" s="142">
        <f t="shared" si="1"/>
        <v>197.24734</v>
      </c>
      <c r="G22" s="55">
        <f>IFS(L22="Grupo 0",0,L22="Grupo 1",F22/F42,L22="Grupo 2",F22/F43,L22="Grupo 3",F22/F44,L22="Grupo 4",F22/F45,L22="Grupo 5",F22/F46)</f>
        <v>0.1988356651</v>
      </c>
      <c r="H22" s="55">
        <f>IFS(L22="Grupo 0",0,L22="Grupo 1",F22/E42,L22="Grupo 2",F22/E43,L22="Grupo 3",F22/E44,L22="Grupo 4",F22/E45,L22="Grupo 5",F22/E46)</f>
        <v>0.1758277694</v>
      </c>
      <c r="I22" s="55">
        <f>IFS(L22="Grupo 0",0,L22="Grupo 1",M22/M42,L22="Grupo 2",M22/M43,L22="Grupo 3",M22/M44,L22="Grupo 4",M22/M45,L22="Grupo 5",M22/M46)</f>
        <v>0.1951219512</v>
      </c>
      <c r="J22" s="56">
        <f>IFS(L22="Grupo 0",0,L22="Grupo 1",K22/K42,L22="Grupo 2",K22/K43,L22="Grupo 3",K22/K44,L22="Grupo 4",K22/K45,L22="Grupo 5",K22/K46)</f>
        <v>0.137247231</v>
      </c>
      <c r="K22" s="57">
        <f>IFS(L22="Grupo 0",0,L22="Grupo 1",(E42*I22-F22)*N22,L22="Grupo 2",(E43*I22-F22)*N22,L22="Grupo 3",(E44*I22-F22)*N22,L22="Grupo 4",(E45*I22-F22)*N22,L22="Grupo 5",(E46*I22-F22)*N22)</f>
        <v>21.64462443</v>
      </c>
      <c r="L22" s="84" t="s">
        <v>192</v>
      </c>
      <c r="M22" s="84">
        <v>8.0</v>
      </c>
      <c r="N22" s="59">
        <f t="shared" si="2"/>
        <v>1</v>
      </c>
      <c r="O22" s="143">
        <f>IFS(L22="Grupo 0",0,L22="Grupo 1",J22*D42,L22="Grupo 2",J22*D43,L22="Grupo 3",J22*D44,L22="Grupo 4",J22*D45,L22="Grupo 5",J22*D46)</f>
        <v>17.81598726</v>
      </c>
      <c r="P22" s="61"/>
      <c r="Q22" s="50"/>
    </row>
    <row r="23">
      <c r="A23" s="73">
        <v>22.0</v>
      </c>
      <c r="B23" s="63" t="s">
        <v>196</v>
      </c>
      <c r="C23" s="27">
        <f>F23*I46</f>
        <v>691.0139982</v>
      </c>
      <c r="D23" s="63">
        <v>3.255</v>
      </c>
      <c r="E23" s="144">
        <f>IFERROR(__xludf.DUMMYFUNCTION("GOOGLEFINANCE(B23)"),40.33)</f>
        <v>40.33</v>
      </c>
      <c r="F23" s="145">
        <f t="shared" si="1"/>
        <v>131.27415</v>
      </c>
      <c r="G23" s="24">
        <f>IFS(L23="Grupo 0",0,L23="Grupo 1",F23/F42,L23="Grupo 2",F23/F43,L23="Grupo 3",F23/F44,L23="Grupo 4",F23/F45,L23="Grupo 5",F23/F46)</f>
        <v>0.1323312291</v>
      </c>
      <c r="H23" s="24">
        <f>IFS(L23="Grupo 0",0,L23="Grupo 1",F23/E42,L23="Grupo 2",F23/E43,L23="Grupo 3",F23/E44,L23="Grupo 4",F23/E45,L23="Grupo 5",F23/E46)</f>
        <v>0.1170187693</v>
      </c>
      <c r="I23" s="24">
        <f>IFS(L23="Grupo 0",0,L23="Grupo 1",M23/M42,L23="Grupo 2",M23/M43,L23="Grupo 3",M23/M44,L23="Grupo 4",M23/M45,L23="Grupo 5",M23/M46)</f>
        <v>0.1463414634</v>
      </c>
      <c r="J23" s="67">
        <f>IFS(L23="Grupo 0",0,L23="Grupo 1",K23/K42,L23="Grupo 2",K23/K43,L23="Grupo 3",K23/K44,L23="Grupo 4",K23/K45,L23="Grupo 5",K23/K46)</f>
        <v>0.2085840496</v>
      </c>
      <c r="K23" s="68">
        <f>IFS(L23="Grupo 0",0,L23="Grupo 1",(E42*I23-F23)*N23,L23="Grupo 2",(E43*I23-F23)*N23,L23="Grupo 3",(E44*I23-F23)*N23,L23="Grupo 4",(E45*I23-F23)*N23,L23="Grupo 5",(E46*I23-F23)*N23)</f>
        <v>32.89482332</v>
      </c>
      <c r="L23" s="85" t="s">
        <v>192</v>
      </c>
      <c r="M23" s="85">
        <v>6.0</v>
      </c>
      <c r="N23" s="70">
        <f t="shared" si="2"/>
        <v>1</v>
      </c>
      <c r="O23" s="146">
        <f>IFS(L23="Grupo 0",0,L23="Grupo 1",J23*D42,L23="Grupo 2",J23*D43,L23="Grupo 3",J23*D44,L23="Grupo 4",J23*D45,L23="Grupo 5",J23*D46)</f>
        <v>27.07618029</v>
      </c>
      <c r="P23" s="61"/>
      <c r="Q23" s="50"/>
    </row>
    <row r="24">
      <c r="A24" s="51">
        <v>23.0</v>
      </c>
      <c r="B24" s="52"/>
      <c r="C24" s="54">
        <f>F24*I46</f>
        <v>0</v>
      </c>
      <c r="D24" s="52"/>
      <c r="E24" s="147"/>
      <c r="F24" s="142">
        <f t="shared" si="1"/>
        <v>0</v>
      </c>
      <c r="G24" s="55">
        <f>IFS(L24="Grupo 0",0,L24="Grupo 1",F24/F42,L24="Grupo 2",F24/F43,L24="Grupo 3",F24/F44,L24="Grupo 4",F24/F45,L24="Grupo 5",F24/F46)</f>
        <v>0</v>
      </c>
      <c r="H24" s="55">
        <f>IFS(L24="Grupo 0",0,L24="Grupo 1",F24/E42,L24="Grupo 2",F24/E43,L24="Grupo 3",F24/E44,L24="Grupo 4",F24/E45,L24="Grupo 5",F24/E46)</f>
        <v>0</v>
      </c>
      <c r="I24" s="55">
        <f>IFS(L24="Grupo 0",0,L24="Grupo 1",M24/M42,L24="Grupo 2",M24/M43,L24="Grupo 3",M24/M44,L24="Grupo 4",M24/M45,L24="Grupo 5",M24/M46)</f>
        <v>0</v>
      </c>
      <c r="J24" s="56">
        <f>IFS(L24="Grupo 0",0,L24="Grupo 1",K24/K42,L24="Grupo 2",K24/K43,L24="Grupo 3",K24/K44,L24="Grupo 4",K24/K45,L24="Grupo 5",K24/K46)</f>
        <v>0</v>
      </c>
      <c r="K24" s="57">
        <f>IFS(L24="Grupo 0",0,L24="Grupo 1",(E42*I24-F24)*N24,L24="Grupo 2",(E43*I24-F24)*N24,L24="Grupo 3",(E44*I24-F24)*N24,L24="Grupo 4",(E45*I24-F24)*N24,L24="Grupo 5",(E46*I24-F24)*N24)</f>
        <v>0</v>
      </c>
      <c r="L24" s="84" t="s">
        <v>36</v>
      </c>
      <c r="M24" s="84"/>
      <c r="N24" s="59">
        <f t="shared" si="2"/>
        <v>1</v>
      </c>
      <c r="O24" s="143">
        <f>IFS(L24="Grupo 0",0,L24="Grupo 1",J24*D42,L24="Grupo 2",J24*D43,L24="Grupo 3",J24*D44,L24="Grupo 4",J24*D45,L24="Grupo 5",J24*D46)</f>
        <v>0</v>
      </c>
      <c r="P24" s="61"/>
      <c r="Q24" s="50"/>
    </row>
    <row r="25">
      <c r="A25" s="73">
        <v>24.0</v>
      </c>
      <c r="B25" s="63"/>
      <c r="C25" s="27">
        <f>F25*I46</f>
        <v>0</v>
      </c>
      <c r="D25" s="63"/>
      <c r="E25" s="149"/>
      <c r="F25" s="145">
        <f t="shared" si="1"/>
        <v>0</v>
      </c>
      <c r="G25" s="24">
        <f>IFS(L25="Grupo 0",0,L25="Grupo 1",F25/F42,L25="Grupo 2",F25/F43,L25="Grupo 3",F25/F44,L25="Grupo 4",F25/F45,L25="Grupo 5",F25/F46)</f>
        <v>0</v>
      </c>
      <c r="H25" s="24">
        <f>IFS(L25="Grupo 0",0,L25="Grupo 1",F25/E42,L25="Grupo 2",F25/E43,L25="Grupo 3",F25/E44,L25="Grupo 4",F25/E45,L25="Grupo 5",F25/E46)</f>
        <v>0</v>
      </c>
      <c r="I25" s="24">
        <f>IFS(L25="Grupo 0",0,L25="Grupo 1",M25/M42,L25="Grupo 2",M25/M43,L25="Grupo 3",M25/M44,L25="Grupo 4",M25/M45,L25="Grupo 5",M25/M46)</f>
        <v>0</v>
      </c>
      <c r="J25" s="67">
        <f>IFS(L25="Grupo 0",0,L25="Grupo 1",K25/K42,L25="Grupo 2",K25/K43,L25="Grupo 3",K25/K44,L25="Grupo 4",K25/K45,L25="Grupo 5",K25/K46)</f>
        <v>0</v>
      </c>
      <c r="K25" s="68">
        <f>IFS(L25="Grupo 0",0,L25="Grupo 1",(E42*I25-F25)*N25,L25="Grupo 2",(E43*I25-F25)*N25,L25="Grupo 3",(E44*I25-F25)*N25,L25="Grupo 4",(E45*I25-F25)*N25,L25="Grupo 5",(E46*I25-F25)*N25)</f>
        <v>0</v>
      </c>
      <c r="L25" s="85" t="s">
        <v>36</v>
      </c>
      <c r="M25" s="85"/>
      <c r="N25" s="70">
        <f t="shared" si="2"/>
        <v>1</v>
      </c>
      <c r="O25" s="146">
        <f>IFS(L25="Grupo 0",0,L25="Grupo 1",J25*D42,L25="Grupo 2",J25*D43,L25="Grupo 3",J25*D44,L25="Grupo 4",J25*D45,L25="Grupo 5",J25*D46)</f>
        <v>0</v>
      </c>
      <c r="P25" s="61"/>
      <c r="Q25" s="50"/>
    </row>
    <row r="26">
      <c r="A26" s="51">
        <v>25.0</v>
      </c>
      <c r="B26" s="52"/>
      <c r="C26" s="54">
        <f>F26*I46</f>
        <v>0</v>
      </c>
      <c r="D26" s="52"/>
      <c r="E26" s="147"/>
      <c r="F26" s="142">
        <f t="shared" si="1"/>
        <v>0</v>
      </c>
      <c r="G26" s="55">
        <f>IFS(L26="Grupo 0",0,L26="Grupo 1",F26/F42,L26="Grupo 2",F26/F43,L26="Grupo 3",F26/F44,L26="Grupo 4",F26/F45,L26="Grupo 5",F26/F46)</f>
        <v>0</v>
      </c>
      <c r="H26" s="55">
        <f>IFS(L26="Grupo 0",0,L26="Grupo 1",F26/E42,L26="Grupo 2",F26/E43,L26="Grupo 3",F26/E44,L26="Grupo 4",F26/E45,L26="Grupo 5",F26/E46)</f>
        <v>0</v>
      </c>
      <c r="I26" s="55">
        <f>IFS(L26="Grupo 0",0,L26="Grupo 1",M26/M42,L26="Grupo 2",M26/M43,L26="Grupo 3",M26/M44,L26="Grupo 4",M26/M45,L26="Grupo 5",M26/M46)</f>
        <v>0</v>
      </c>
      <c r="J26" s="56">
        <f>IFS(L26="Grupo 0",0,L26="Grupo 1",K26/K42,L26="Grupo 2",K26/K43,L26="Grupo 3",K26/K44,L26="Grupo 4",K26/K45,L26="Grupo 5",K26/K46)</f>
        <v>0</v>
      </c>
      <c r="K26" s="57">
        <f>IFS(L26="Grupo 0",0,L26="Grupo 1",(E42*I26-F26)*N26,L26="Grupo 2",(E43*I26-F26)*N26,L26="Grupo 3",(E44*I26-F26)*N26,L26="Grupo 4",(E45*I26-F26)*N26,L26="Grupo 5",(E46*I26-F26)*N26)</f>
        <v>0</v>
      </c>
      <c r="L26" s="84" t="s">
        <v>36</v>
      </c>
      <c r="M26" s="84"/>
      <c r="N26" s="59">
        <f t="shared" si="2"/>
        <v>1</v>
      </c>
      <c r="O26" s="143">
        <f>IFS(L26="Grupo 0",0,L26="Grupo 1",J26*D42,L26="Grupo 2",J26*D43,L26="Grupo 3",J26*D44,L26="Grupo 4",J26*D45,L26="Grupo 5",J26*D46)</f>
        <v>0</v>
      </c>
      <c r="P26" s="61"/>
      <c r="Q26" s="50"/>
    </row>
    <row r="27">
      <c r="A27" s="73">
        <v>26.0</v>
      </c>
      <c r="B27" s="63"/>
      <c r="C27" s="27">
        <f>F27*I46</f>
        <v>0</v>
      </c>
      <c r="D27" s="63"/>
      <c r="E27" s="149"/>
      <c r="F27" s="145">
        <f t="shared" si="1"/>
        <v>0</v>
      </c>
      <c r="G27" s="24">
        <f>IFS(L27="Grupo 0",0,L27="Grupo 1",F27/F42,L27="Grupo 2",F27/F43,L27="Grupo 3",F27/F44,L27="Grupo 4",F27/F45,L27="Grupo 5",F27/F46)</f>
        <v>0</v>
      </c>
      <c r="H27" s="24">
        <f>IFS(L27="Grupo 0",0,L27="Grupo 1",F27/E42,L27="Grupo 2",F27/E43,L27="Grupo 3",F27/E44,L27="Grupo 4",F27/E45,L27="Grupo 5",F27/E46)</f>
        <v>0</v>
      </c>
      <c r="I27" s="24">
        <f>IFS(L27="Grupo 0",0,L27="Grupo 1",M27/M42,L27="Grupo 2",M27/M43,L27="Grupo 3",M27/M44,L27="Grupo 4",M27/M45,L27="Grupo 5",M27/M46)</f>
        <v>0</v>
      </c>
      <c r="J27" s="67">
        <f>IFS(L27="Grupo 0",0,L27="Grupo 1",K27/K42,L27="Grupo 2",K27/K43,L27="Grupo 3",K27/K44,L27="Grupo 4",K27/K45,L27="Grupo 5",K27/K46)</f>
        <v>0</v>
      </c>
      <c r="K27" s="68">
        <f>IFS(L27="Grupo 0",0,L27="Grupo 1",(E42*I27-F27)*N27,L27="Grupo 2",(E43*I27-F27)*N27,L27="Grupo 3",(E44*I27-F27)*N27,L27="Grupo 4",(E45*I27-F27)*N27,L27="Grupo 5",(E46*I27-F27)*N27)</f>
        <v>0</v>
      </c>
      <c r="L27" s="85" t="s">
        <v>36</v>
      </c>
      <c r="M27" s="85"/>
      <c r="N27" s="70">
        <f t="shared" si="2"/>
        <v>1</v>
      </c>
      <c r="O27" s="146">
        <f>IFS(L27="Grupo 0",0,L27="Grupo 1",J27*D42,L27="Grupo 2",J27*D43,L27="Grupo 3",J27*D44,L27="Grupo 4",J27*D45,L27="Grupo 5",J27*D46)</f>
        <v>0</v>
      </c>
      <c r="P27" s="61"/>
      <c r="Q27" s="50"/>
    </row>
    <row r="28">
      <c r="A28" s="51">
        <v>27.0</v>
      </c>
      <c r="B28" s="52"/>
      <c r="C28" s="54">
        <f>F28*I46</f>
        <v>0</v>
      </c>
      <c r="D28" s="52"/>
      <c r="E28" s="147"/>
      <c r="F28" s="142">
        <f t="shared" si="1"/>
        <v>0</v>
      </c>
      <c r="G28" s="55">
        <f>IFS(L28="Grupo 0",0,L28="Grupo 1",F28/F42,L28="Grupo 2",F28/F43,L28="Grupo 3",F28/F44,L28="Grupo 4",F28/F45,L28="Grupo 5",F28/F46)</f>
        <v>0</v>
      </c>
      <c r="H28" s="55">
        <f>IFS(L28="Grupo 0",0,L28="Grupo 1",F28/E42,L28="Grupo 2",F28/E43,L28="Grupo 3",F28/E44,L28="Grupo 4",F28/E45,L28="Grupo 5",F28/E46)</f>
        <v>0</v>
      </c>
      <c r="I28" s="55">
        <f>IFS(L28="Grupo 0",0,L28="Grupo 1",M28/M42,L28="Grupo 2",M28/M43,L28="Grupo 3",M28/M44,L28="Grupo 4",M28/M45,L28="Grupo 5",M28/M46)</f>
        <v>0</v>
      </c>
      <c r="J28" s="56">
        <f>IFS(L28="Grupo 0",0,L28="Grupo 1",K28/K42,L28="Grupo 2",K28/K43,L28="Grupo 3",K28/K44,L28="Grupo 4",K28/K45,L28="Grupo 5",K28/K46)</f>
        <v>0</v>
      </c>
      <c r="K28" s="57">
        <f>IFS(L28="Grupo 0",0,L28="Grupo 1",(E42*I28-F28)*N28,L28="Grupo 2",(E43*I28-F28)*N28,L28="Grupo 3",(E44*I28-F28)*N28,L28="Grupo 4",(E45*I28-F28)*N28,L28="Grupo 5",(E46*I28-F28)*N28)</f>
        <v>0</v>
      </c>
      <c r="L28" s="84" t="s">
        <v>36</v>
      </c>
      <c r="M28" s="84"/>
      <c r="N28" s="59">
        <f t="shared" si="2"/>
        <v>1</v>
      </c>
      <c r="O28" s="143">
        <f>IFS(L28="Grupo 0",0,L28="Grupo 1",J28*D42,L28="Grupo 2",J28*D43,L28="Grupo 3",J28*D44,L28="Grupo 4",J28*D45,L28="Grupo 5",J28*D46)</f>
        <v>0</v>
      </c>
      <c r="P28" s="61"/>
      <c r="Q28" s="50"/>
    </row>
    <row r="29">
      <c r="A29" s="73">
        <v>28.0</v>
      </c>
      <c r="B29" s="63"/>
      <c r="C29" s="27">
        <f>F29*I46</f>
        <v>0</v>
      </c>
      <c r="D29" s="63"/>
      <c r="E29" s="149"/>
      <c r="F29" s="145">
        <f t="shared" si="1"/>
        <v>0</v>
      </c>
      <c r="G29" s="24">
        <f>IFS(L29="Grupo 0",0,L29="Grupo 1",F29/F42,L29="Grupo 2",F29/F43,L29="Grupo 3",F29/F44,L29="Grupo 4",F29/F45,L29="Grupo 5",F29/F46)</f>
        <v>0</v>
      </c>
      <c r="H29" s="24">
        <f>IFS(L29="Grupo 0",0,L29="Grupo 1",F29/E42,L29="Grupo 2",F29/E43,L29="Grupo 3",F29/E44,L29="Grupo 4",F29/E45,L29="Grupo 5",F29/E46)</f>
        <v>0</v>
      </c>
      <c r="I29" s="24">
        <f>IFS(L29="Grupo 0",0,L29="Grupo 1",M29/M42,L29="Grupo 2",M29/M43,L29="Grupo 3",M29/M44,L29="Grupo 4",M29/M45,L29="Grupo 5",M29/M46)</f>
        <v>0</v>
      </c>
      <c r="J29" s="67">
        <f>IFS(L29="Grupo 0",0,L29="Grupo 1",K29/K42,L29="Grupo 2",K29/K43,L29="Grupo 3",K29/K44,L29="Grupo 4",K29/K45,L29="Grupo 5",K29/K46)</f>
        <v>0</v>
      </c>
      <c r="K29" s="68">
        <f>IFS(L29="Grupo 0",0,L29="Grupo 1",(E42*I29-F29)*N29,L29="Grupo 2",(E43*I29-F29)*N29,L29="Grupo 3",(E44*I29-F29)*N29,L29="Grupo 4",(E45*I29-F29)*N29,L29="Grupo 5",(E46*I29-F29)*N29)</f>
        <v>0</v>
      </c>
      <c r="L29" s="85" t="s">
        <v>36</v>
      </c>
      <c r="M29" s="85"/>
      <c r="N29" s="70">
        <f t="shared" si="2"/>
        <v>1</v>
      </c>
      <c r="O29" s="146">
        <f>IFS(L29="Grupo 0",0,L29="Grupo 1",J29*D42,L29="Grupo 2",J29*D43,L29="Grupo 3",J29*D44,L29="Grupo 4",J29*D45,L29="Grupo 5",J29*D46)</f>
        <v>0</v>
      </c>
      <c r="P29" s="61"/>
      <c r="Q29" s="50"/>
    </row>
    <row r="30">
      <c r="A30" s="51">
        <v>29.0</v>
      </c>
      <c r="B30" s="52"/>
      <c r="C30" s="54">
        <f>F30*I46</f>
        <v>0</v>
      </c>
      <c r="D30" s="52"/>
      <c r="E30" s="147"/>
      <c r="F30" s="142">
        <f t="shared" si="1"/>
        <v>0</v>
      </c>
      <c r="G30" s="55">
        <f>IFS(L30="Grupo 0",0,L30="Grupo 1",F30/F42,L30="Grupo 2",F30/F43,L30="Grupo 3",F30/F44,L30="Grupo 4",F30/F45,L30="Grupo 5",F30/F46)</f>
        <v>0</v>
      </c>
      <c r="H30" s="55">
        <f>IFS(L30="Grupo 0",0,L30="Grupo 1",F30/E42,L30="Grupo 2",F30/E43,L30="Grupo 3",F30/E44,L30="Grupo 4",F30/E45,L30="Grupo 5",F30/E46)</f>
        <v>0</v>
      </c>
      <c r="I30" s="55">
        <f>IFS(L30="Grupo 0",0,L30="Grupo 1",M30/M42,L30="Grupo 2",M30/M43,L30="Grupo 3",M30/M44,L30="Grupo 4",M30/M45,L30="Grupo 5",M30/M46)</f>
        <v>0</v>
      </c>
      <c r="J30" s="56">
        <f>IFS(L30="Grupo 0",0,L30="Grupo 1",K30/K42,L30="Grupo 2",K30/K43,L30="Grupo 3",K30/K44,L30="Grupo 4",K30/K45,L30="Grupo 5",K30/K46)</f>
        <v>0</v>
      </c>
      <c r="K30" s="57">
        <f>IFS(L30="Grupo 0",0,L30="Grupo 1",(E42*I30-F30)*N30,L30="Grupo 2",(E43*I30-F30)*N30,L30="Grupo 3",(E44*I30-F30)*N30,L30="Grupo 4",(E45*I30-F30)*N30,L30="Grupo 5",(E46*I30-F30)*N30)</f>
        <v>0</v>
      </c>
      <c r="L30" s="84" t="s">
        <v>36</v>
      </c>
      <c r="M30" s="84"/>
      <c r="N30" s="59">
        <f t="shared" si="2"/>
        <v>1</v>
      </c>
      <c r="O30" s="143">
        <f>IFS(L30="Grupo 0",0,L30="Grupo 1",J30*D42,L30="Grupo 2",J30*D43,L30="Grupo 3",J30*D44,L30="Grupo 4",J30*D45,L30="Grupo 5",J30*D46)</f>
        <v>0</v>
      </c>
      <c r="P30" s="61"/>
      <c r="Q30" s="50"/>
    </row>
    <row r="31">
      <c r="A31" s="73">
        <v>30.0</v>
      </c>
      <c r="B31" s="63"/>
      <c r="C31" s="27">
        <f>F31*I46</f>
        <v>0</v>
      </c>
      <c r="D31" s="63"/>
      <c r="E31" s="149"/>
      <c r="F31" s="145">
        <f t="shared" si="1"/>
        <v>0</v>
      </c>
      <c r="G31" s="24">
        <f>IFS(L31="Grupo 0",0,L31="Grupo 1",F31/F42,L31="Grupo 2",F31/F43,L31="Grupo 3",F31/F44,L31="Grupo 4",F31/F45,L31="Grupo 5",F31/F46)</f>
        <v>0</v>
      </c>
      <c r="H31" s="24">
        <f>IFS(L31="Grupo 0",0,L31="Grupo 1",F31/E42,L31="Grupo 2",F31/E43,L31="Grupo 3",F31/E44,L31="Grupo 4",F31/E45,L31="Grupo 5",F31/E46)</f>
        <v>0</v>
      </c>
      <c r="I31" s="24">
        <f>IFS(L31="Grupo 0",0,L31="Grupo 1",M31/M42,L31="Grupo 2",M31/M43,L31="Grupo 3",M31/M44,L31="Grupo 4",M31/M45,L31="Grupo 5",M31/M46)</f>
        <v>0</v>
      </c>
      <c r="J31" s="67">
        <f>IFS(L31="Grupo 0",0,L31="Grupo 1",K31/K42,L31="Grupo 2",K31/K43,L31="Grupo 3",K31/K44,L31="Grupo 4",K31/K45,L31="Grupo 5",K31/K46)</f>
        <v>0</v>
      </c>
      <c r="K31" s="68">
        <f>IFS(L31="Grupo 0",0,L31="Grupo 1",(E42*I31-F31)*N31,L31="Grupo 2",(E43*I31-F31)*N31,L31="Grupo 3",(E44*I30-F31)*N31,L31="Grupo 4",(E45*I31-F31)*N31,L31="Grupo 5",(E46*I31-F31)*N31)</f>
        <v>0</v>
      </c>
      <c r="L31" s="85" t="s">
        <v>36</v>
      </c>
      <c r="M31" s="85"/>
      <c r="N31" s="70">
        <f t="shared" si="2"/>
        <v>1</v>
      </c>
      <c r="O31" s="146">
        <f>IFS(L31="Grupo 0",0,L31="Grupo 1",J31*D42,L31="Grupo 2",J31*D43,L31="Grupo 3",J31*D44,L31="Grupo 4",J31*D45,L31="Grupo 5",J31*D46)</f>
        <v>0</v>
      </c>
      <c r="P31" s="61"/>
      <c r="Q31" s="50"/>
    </row>
    <row r="32">
      <c r="A32" s="51">
        <v>31.0</v>
      </c>
      <c r="B32" s="52"/>
      <c r="C32" s="54">
        <f>F32*I46</f>
        <v>0</v>
      </c>
      <c r="D32" s="52"/>
      <c r="E32" s="147"/>
      <c r="F32" s="142">
        <f t="shared" si="1"/>
        <v>0</v>
      </c>
      <c r="G32" s="55">
        <f>IFS(L32="Grupo 0",0,L32="Grupo 1",F32/F42,L32="Grupo 2",F32/F43,L32="Grupo 3",F32/F44,L32="Grupo 4",F32/F45,L32="Grupo 5",F32/F46)</f>
        <v>0</v>
      </c>
      <c r="H32" s="55">
        <f>IFS(L32="Grupo 0",0,L32="Grupo 1",F32/E42,L32="Grupo 2",F32/E43,L32="Grupo 3",F32/E44,L32="Grupo 4",F32/E45,L32="Grupo 5",F32/E46)</f>
        <v>0</v>
      </c>
      <c r="I32" s="55">
        <f>IFS(L32="Grupo 0",0,L32="Grupo 1",M32/M42,L32="Grupo 2",M32/M43,L32="Grupo 3",M32/M44,L32="Grupo 4",M32/M45,L32="Grupo 5",M32/M46)</f>
        <v>0</v>
      </c>
      <c r="J32" s="56">
        <f>IFS(L32="Grupo 0",0,L32="Grupo 1",K32/K42,L32="Grupo 2",K32/K43,L32="Grupo 3",K32/K44,L32="Grupo 4",K32/K45,L32="Grupo 5",K32/K46)</f>
        <v>0</v>
      </c>
      <c r="K32" s="57">
        <f>IFS(L32="Grupo 0",0,L32="Grupo 1",(E42*I32-F32)*N32,L32="Grupo 2",(E43*I32-F32)*N32,L32="Grupo 3",(E44*I32-F32)*N32,L32="Grupo 4",(E45*I32-F32)*N32,L32="Grupo 5",(E46*I32-F32)*N32)</f>
        <v>0</v>
      </c>
      <c r="L32" s="84" t="s">
        <v>36</v>
      </c>
      <c r="M32" s="84"/>
      <c r="N32" s="59">
        <f t="shared" si="2"/>
        <v>1</v>
      </c>
      <c r="O32" s="143">
        <f>IFS(L32="Grupo 0",0,L32="Grupo 1",J32*D42,L32="Grupo 2",J32*D43,L32="Grupo 3",J32*D44,L32="Grupo 4",J32*D45,L32="Grupo 5",J32*D46)</f>
        <v>0</v>
      </c>
      <c r="P32" s="61"/>
      <c r="Q32" s="50"/>
    </row>
    <row r="33">
      <c r="A33" s="73">
        <v>32.0</v>
      </c>
      <c r="B33" s="63"/>
      <c r="C33" s="27">
        <f>F33*I46</f>
        <v>0</v>
      </c>
      <c r="D33" s="63"/>
      <c r="E33" s="149"/>
      <c r="F33" s="145">
        <f t="shared" si="1"/>
        <v>0</v>
      </c>
      <c r="G33" s="24">
        <f>IFS(L33="Grupo 0",0,L33="Grupo 1",F33/F42,L33="Grupo 2",F33/F43,L33="Grupo 3",F33/F44,L33="Grupo 4",F33/F45,L33="Grupo 5",F33/F46)</f>
        <v>0</v>
      </c>
      <c r="H33" s="24">
        <f>IFS(L33="Grupo 0",0,L33="Grupo 1",F33/E42,L33="Grupo 2",F33/E43,L33="Grupo 3",F33/E44,L33="Grupo 4",F33/E45,L33="Grupo 5",F33/E46)</f>
        <v>0</v>
      </c>
      <c r="I33" s="24">
        <f>IFS(L33="Grupo 0",0,L33="Grupo 1",M33/M42,L33="Grupo 2",M33/M43,L33="Grupo 3",M33/M44,L33="Grupo 4",M33/M45,L33="Grupo 5",M33/M46)</f>
        <v>0</v>
      </c>
      <c r="J33" s="67">
        <f>IFS(L33="Grupo 0",0,L33="Grupo 1",K33/K42,L33="Grupo 2",K33/K43,L33="Grupo 3",K33/K44,L33="Grupo 4",K33/K45,L33="Grupo 5",K33/K46)</f>
        <v>0</v>
      </c>
      <c r="K33" s="68">
        <f>IFS(L33="Grupo 0",0,L33="Grupo 1",(E42*I33-F33)*N33,L33="Grupo 2",(E43*I33-F33)*N33,L33="Grupo 3",(E44*I33-F33)*N33,L33="Grupo 4",(E45*I33-F33)*N33,L33="Grupo 5",(E46*I33-F33)*N33)</f>
        <v>0</v>
      </c>
      <c r="L33" s="85" t="s">
        <v>36</v>
      </c>
      <c r="M33" s="85"/>
      <c r="N33" s="70">
        <f t="shared" si="2"/>
        <v>1</v>
      </c>
      <c r="O33" s="146">
        <f>IFS(L33="Grupo 0",0,L33="Grupo 1",J33*D42,L33="Grupo 2",J33*D43,L33="Grupo 3",J33*D44,L33="Grupo 4",J33*D45,L33="Grupo 5",J33*D46)</f>
        <v>0</v>
      </c>
      <c r="P33" s="61"/>
      <c r="Q33" s="50"/>
    </row>
    <row r="34">
      <c r="A34" s="51">
        <v>33.0</v>
      </c>
      <c r="B34" s="52"/>
      <c r="C34" s="54">
        <f>F34*I46</f>
        <v>0</v>
      </c>
      <c r="D34" s="52"/>
      <c r="E34" s="147"/>
      <c r="F34" s="142">
        <f t="shared" si="1"/>
        <v>0</v>
      </c>
      <c r="G34" s="55">
        <f>IFS(L34="Grupo 0",0,L34="Grupo 1",F34/F42,L34="Grupo 2",F34/F43,L34="Grupo 3",F34/F44,L34="Grupo 4",F34/F45,L34="Grupo 5",F34/F46)</f>
        <v>0</v>
      </c>
      <c r="H34" s="55">
        <f>IFS(L34="Grupo 0",0,L34="Grupo 1",F34/E42,L34="Grupo 2",F34/E43,L34="Grupo 3",F34/E44,L34="Grupo 4",F34/E45,L34="Grupo 5",F34/E46)</f>
        <v>0</v>
      </c>
      <c r="I34" s="55">
        <f>IFS(L34="Grupo 0",0,L34="Grupo 1",M34/M42,L34="Grupo 2",M34/M43,L34="Grupo 3",M34/M44,L34="Grupo 4",M34/M45,L34="Grupo 5",M34/M46)</f>
        <v>0</v>
      </c>
      <c r="J34" s="56">
        <f>IFS(L34="Grupo 0",0,L34="Grupo 1",K34/K42,L34="Grupo 2",K34/K43,L34="Grupo 3",K34/K44,L34="Grupo 4",K34/K45,L34="Grupo 5",K34/K46)</f>
        <v>0</v>
      </c>
      <c r="K34" s="57">
        <f>IFS(L34="Grupo 0",0,L34="Grupo 1",(E42*I34-F34)*N34,L34="Grupo 2",(E43*I34-F34)*N34,L34="Grupo 3",(E44*I34-F34)*N34,L34="Grupo 4",(E45*I34-F34)*N34,L34="Grupo 5",(E46*I34-F34)*N34)</f>
        <v>0</v>
      </c>
      <c r="L34" s="84" t="s">
        <v>36</v>
      </c>
      <c r="M34" s="84"/>
      <c r="N34" s="59">
        <f t="shared" si="2"/>
        <v>1</v>
      </c>
      <c r="O34" s="143">
        <f>IFS(L34="Grupo 0",0,L34="Grupo 1",J34*D42,L34="Grupo 2",J34*D43,L34="Grupo 3",J34*D44,L34="Grupo 4",J34*D45,L34="Grupo 5",J34*D46)</f>
        <v>0</v>
      </c>
      <c r="P34" s="61"/>
      <c r="Q34" s="50"/>
    </row>
    <row r="35">
      <c r="A35" s="73">
        <v>34.0</v>
      </c>
      <c r="B35" s="63"/>
      <c r="C35" s="27">
        <f>F35*I46</f>
        <v>0</v>
      </c>
      <c r="D35" s="63"/>
      <c r="E35" s="149"/>
      <c r="F35" s="145">
        <f t="shared" si="1"/>
        <v>0</v>
      </c>
      <c r="G35" s="24">
        <f>IFS(L35="Grupo 0",0,L35="Grupo 1",F35/F42,L35="Grupo 2",F35/F43,L35="Grupo 3",F35/F44,L35="Grupo 4",F35/F45,L35="Grupo 5",F35/F46)</f>
        <v>0</v>
      </c>
      <c r="H35" s="24">
        <f>IFS(L35="Grupo 0",0,L35="Grupo 1",F35/E42,L35="Grupo 2",F35/E43,L35="Grupo 3",F35/E44,L35="Grupo 4",F35/E45,L35="Grupo 5",F35/E46)</f>
        <v>0</v>
      </c>
      <c r="I35" s="24">
        <f>IFS(L35="Grupo 0",0,L35="Grupo 1",M35/M42,L35="Grupo 2",M35/M43,L35="Grupo 3",M35/M44,L35="Grupo 4",M35/M45,L35="Grupo 5",M35/M46)</f>
        <v>0</v>
      </c>
      <c r="J35" s="67">
        <f>IFS(L35="Grupo 0",0,L35="Grupo 1",K35/K42,L35="Grupo 2",K35/K43,L35="Grupo 3",K35/K44,L35="Grupo 4",K35/K45,L35="Grupo 5",K35/K46)</f>
        <v>0</v>
      </c>
      <c r="K35" s="68">
        <f>IFS(L35="Grupo 0",0,L35="Grupo 1",(E42*I35-F35)*N35,L35="Grupo 2",(E43*I35-F35)*N35,L35="Grupo 3",(E44*I35-F35)*N35,L35="Grupo 4",(E45*I35-F35)*N35,L35="Grupo 5",(E46*I35-F35)*N35)</f>
        <v>0</v>
      </c>
      <c r="L35" s="85" t="s">
        <v>36</v>
      </c>
      <c r="M35" s="85"/>
      <c r="N35" s="70">
        <f t="shared" si="2"/>
        <v>1</v>
      </c>
      <c r="O35" s="146">
        <f>IFS(L35="Grupo 0",0,L35="Grupo 1",J35*D42,L35="Grupo 2",J35*D43,L35="Grupo 3",J35*D44,L35="Grupo 4",J35*D45,L35="Grupo 5",J35*D46)</f>
        <v>0</v>
      </c>
      <c r="P35" s="61"/>
      <c r="Q35" s="50"/>
    </row>
    <row r="36">
      <c r="A36" s="51">
        <v>35.0</v>
      </c>
      <c r="B36" s="52"/>
      <c r="C36" s="54">
        <f>F36*I46</f>
        <v>0</v>
      </c>
      <c r="D36" s="52"/>
      <c r="E36" s="147"/>
      <c r="F36" s="142">
        <f t="shared" si="1"/>
        <v>0</v>
      </c>
      <c r="G36" s="55">
        <f>IFS(L36="Grupo 0",0,L36="Grupo 1",F36/F42,L36="Grupo 2",F36/F43,L36="Grupo 3",F36/F44,L36="Grupo 4",F36/F45,L36="Grupo 5",F36/F46)</f>
        <v>0</v>
      </c>
      <c r="H36" s="55">
        <f>IFS(L36="Grupo 0",0,L36="Grupo 1",F36/E42,L36="Grupo 2",F36/E43,L36="Grupo 3",F36/E44,L36="Grupo 4",F36/E45,L36="Grupo 5",F36/E46)</f>
        <v>0</v>
      </c>
      <c r="I36" s="55">
        <f>IFS(L36="Grupo 0",0,L36="Grupo 1",M36/M42,L36="Grupo 2",M36/M43,L36="Grupo 3",M36/M44,L36="Grupo 4",M36/M45,L36="Grupo 5",M36/M46)</f>
        <v>0</v>
      </c>
      <c r="J36" s="56">
        <f>IFS(L36="Grupo 0",0,L36="Grupo 1",K36/K42,L36="Grupo 2",K36/K43,L36="Grupo 3",K36/K44,L36="Grupo 4",K36/K45,L36="Grupo 5",K36/K46)</f>
        <v>0</v>
      </c>
      <c r="K36" s="57">
        <f>IFS(L36="Grupo 0",0,L36="Grupo 1",(E42*I36-F36)*N36,L36="Grupo 2",(E43*I36-F36)*N36,L36="Grupo 3",(E44*I36-F36)*N36,L36="Grupo 4",(E45*I36-F36)*N36,L36="Grupo 5",(E46*I36-F36)*N36)</f>
        <v>0</v>
      </c>
      <c r="L36" s="84" t="s">
        <v>36</v>
      </c>
      <c r="M36" s="84"/>
      <c r="N36" s="59">
        <f t="shared" si="2"/>
        <v>1</v>
      </c>
      <c r="O36" s="143">
        <f>IFS(L36="Grupo 0",0,L36="Grupo 1",J36*D42,L36="Grupo 2",J36*D43,L36="Grupo 3",J36*D44,L36="Grupo 4",J36*D45,L36="Grupo 5",J36*D46)</f>
        <v>0</v>
      </c>
      <c r="P36" s="61"/>
      <c r="Q36" s="50"/>
    </row>
    <row r="37">
      <c r="A37" s="73">
        <v>36.0</v>
      </c>
      <c r="B37" s="63"/>
      <c r="C37" s="27">
        <f>F37*I46</f>
        <v>0</v>
      </c>
      <c r="D37" s="63"/>
      <c r="E37" s="149"/>
      <c r="F37" s="145">
        <f t="shared" si="1"/>
        <v>0</v>
      </c>
      <c r="G37" s="24">
        <f>IFS(L37="Grupo 0",0,L37="Grupo 1",F37/F42,L37="Grupo 2",F37/F43,L37="Grupo 3",F37/F44,L37="Grupo 4",F37/F45,L37="Grupo 5",F37/F46)</f>
        <v>0</v>
      </c>
      <c r="H37" s="24">
        <f>IFS(L37="Grupo 0",0,L37="Grupo 1",F37/E42,L37="Grupo 2",F37/E43,L37="Grupo 3",F37/E44,L37="Grupo 4",F37/E45,L37="Grupo 5",F37/E46)</f>
        <v>0</v>
      </c>
      <c r="I37" s="24">
        <f>IFS(L37="Grupo 0",0,L37="Grupo 1",M37/M42,L37="Grupo 2",M37/M43,L37="Grupo 3",M37/M44,L37="Grupo 4",M37/M45,L37="Grupo 5",M37/M46)</f>
        <v>0</v>
      </c>
      <c r="J37" s="67">
        <f>IFS(L37="Grupo 0",0,L37="Grupo 1",K37/K42,L37="Grupo 2",K37/K43,L37="Grupo 3",K37/K44,L37="Grupo 4",K37/K45,L37="Grupo 5",K37/K46)</f>
        <v>0</v>
      </c>
      <c r="K37" s="68">
        <f>IFS(L37="Grupo 0",0,L37="Grupo 1",(E42*I37-F37)*N37,L37="Grupo 2",(E43*I37-F37)*N37,L37="Grupo 3",(E44*I37-F37)*N37,L37="Grupo 4",(E45*I37-F37)*N37,L37="Grupo 5",(E46*I37-F37)*N37)</f>
        <v>0</v>
      </c>
      <c r="L37" s="85" t="s">
        <v>36</v>
      </c>
      <c r="M37" s="85"/>
      <c r="N37" s="70">
        <f t="shared" si="2"/>
        <v>1</v>
      </c>
      <c r="O37" s="146">
        <f>IFS(L37="Grupo 0",0,L37="Grupo 1",J37*D42,L37="Grupo 2",J37*D43,L37="Grupo 3",J37*D44,L37="Grupo 4",J37*D45,L37="Grupo 5",J37*D46)</f>
        <v>0</v>
      </c>
      <c r="P37" s="61"/>
      <c r="Q37" s="50"/>
    </row>
    <row r="38">
      <c r="A38" s="51">
        <v>37.0</v>
      </c>
      <c r="B38" s="52"/>
      <c r="C38" s="54">
        <f>F38*I46</f>
        <v>0</v>
      </c>
      <c r="D38" s="52"/>
      <c r="E38" s="147"/>
      <c r="F38" s="142">
        <f t="shared" si="1"/>
        <v>0</v>
      </c>
      <c r="G38" s="55">
        <f>IFS(L38="Grupo 0",0,L38="Grupo 1",F38/F42,L38="Grupo 2",F38/F43,L38="Grupo 3",F38/F44,L38="Grupo 4",F38/F45,L38="Grupo 5",F38/F46)</f>
        <v>0</v>
      </c>
      <c r="H38" s="55">
        <f>IFS(L38="Grupo 0",0,L38="Grupo 1",F38/E42,L38="Grupo 2",F38/E43,L38="Grupo 3",F38/E44,L38="Grupo 4",F38/E45,L38="Grupo 5",F38/E46)</f>
        <v>0</v>
      </c>
      <c r="I38" s="55">
        <f>IFS(L38="Grupo 0",0,L38="Grupo 1",M38/M42,L38="Grupo 2",M38/M43,L38="Grupo 3",M38/M44,L38="Grupo 4",M38/M45,L38="Grupo 5",M38/M46)</f>
        <v>0</v>
      </c>
      <c r="J38" s="56">
        <f>IFS(L38="Grupo 0",0,L38="Grupo 1",K38/K42,L38="Grupo 2",K38/K43,L38="Grupo 3",K38/K44,L38="Grupo 4",K38/K45,L38="Grupo 5",K38/K46)</f>
        <v>0</v>
      </c>
      <c r="K38" s="57">
        <f>IFS(L38="Grupo 0",0,L38="Grupo 1",(E42*I38-F38)*N38,L38="Grupo 2",(E43*I38-F38)*N38,L38="Grupo 3",(E44*I38-F38)*N38,L38="Grupo 4",(E45*I38-F38)*N38,L38="Grupo 5",(E46*I38-F38)*N38)</f>
        <v>0</v>
      </c>
      <c r="L38" s="84" t="s">
        <v>36</v>
      </c>
      <c r="M38" s="84"/>
      <c r="N38" s="59">
        <f t="shared" si="2"/>
        <v>1</v>
      </c>
      <c r="O38" s="143">
        <f>IFS(L38="Grupo 0",0,L38="Grupo 1",J38*D42,L38="Grupo 2",J38*D43,L38="Grupo 3",J38*D44,L38="Grupo 4",J38*D45,L38="Grupo 5",J38*D46)</f>
        <v>0</v>
      </c>
      <c r="P38" s="61"/>
      <c r="Q38" s="50"/>
    </row>
    <row r="39">
      <c r="A39" s="73">
        <v>38.0</v>
      </c>
      <c r="B39" s="63"/>
      <c r="C39" s="27">
        <f>F39*I46</f>
        <v>0</v>
      </c>
      <c r="D39" s="63"/>
      <c r="E39" s="149"/>
      <c r="F39" s="145">
        <f t="shared" si="1"/>
        <v>0</v>
      </c>
      <c r="G39" s="24">
        <f>IFS(L39="Grupo 0",0,L39="Grupo 1",F39/F42,L39="Grupo 2",F39/F43,L39="Grupo 3",F39/F44,L39="Grupo 4",F39/F45,L39="Grupo 5",F39/F46)</f>
        <v>0</v>
      </c>
      <c r="H39" s="24">
        <f>IFS(L39="Grupo 0",0,L39="Grupo 1",F39/E42,L39="Grupo 2",F39/E43,L39="Grupo 3",F39/E44,L39="Grupo 4",F39/E45,L39="Grupo 5",F39/E46)</f>
        <v>0</v>
      </c>
      <c r="I39" s="24">
        <f>IFS(L39="Grupo 0",0,L39="Grupo 1",M39/M42,L39="Grupo 2",M39/M43,L39="Grupo 3",M39/M44,L39="Grupo 4",M39/M45,L39="Grupo 5",M39/M46)</f>
        <v>0</v>
      </c>
      <c r="J39" s="67">
        <f>IFS(L39="Grupo 0",0,L39="Grupo 1",K39/K42,L39="Grupo 2",K39/K43,L39="Grupo 3",K39/K44,L39="Grupo 4",K39/K45,L39="Grupo 5",K39/K46)</f>
        <v>0</v>
      </c>
      <c r="K39" s="68">
        <f>IFS(L39="Grupo 0",0,L39="Grupo 1",(E42*I39-F39)*N39,L39="Grupo 2",(E43*I39-F39)*N39,L39="Grupo 3",(E44*I39-F39)*N39,L39="Grupo 4",(E45*I39-F39)*N39,L39="Grupo 5",(E46*I39-F39)*N39)</f>
        <v>0</v>
      </c>
      <c r="L39" s="85" t="s">
        <v>36</v>
      </c>
      <c r="M39" s="85"/>
      <c r="N39" s="70">
        <f t="shared" si="2"/>
        <v>1</v>
      </c>
      <c r="O39" s="146">
        <f>IFS(L39="Grupo 0",0,L39="Grupo 1",J39*D42,L39="Grupo 2",J39*D43,L39="Grupo 3",J39*D44,L39="Grupo 4",J39*D45,L39="Grupo 5",J39*D46)</f>
        <v>0</v>
      </c>
      <c r="P39" s="61"/>
      <c r="Q39" s="50"/>
    </row>
    <row r="40">
      <c r="A40" s="51">
        <v>39.0</v>
      </c>
      <c r="B40" s="52"/>
      <c r="C40" s="54">
        <f>F40*I46</f>
        <v>0</v>
      </c>
      <c r="D40" s="52"/>
      <c r="E40" s="147"/>
      <c r="F40" s="142">
        <f t="shared" si="1"/>
        <v>0</v>
      </c>
      <c r="G40" s="55">
        <f>IFS(L40="Grupo 0",0,L40="Grupo 1",F40/F42,L40="Grupo 2",F40/F43,L40="Grupo 3",F40/F44,L40="Grupo 4",F40/F45,L40="Grupo 5",F40/F46)</f>
        <v>0</v>
      </c>
      <c r="H40" s="55">
        <f>IFS(L40="Grupo 0",0,L40="Grupo 1",F40/E42,L40="Grupo 2",F40/E43,L40="Grupo 3",F40/E44,L40="Grupo 4",F40/E45,L40="Grupo 5",F40/E46)</f>
        <v>0</v>
      </c>
      <c r="I40" s="55">
        <f>IFS(L40="Grupo 0",0,L40="Grupo 1",M40/M42,L40="Grupo 2",M40/M43,L40="Grupo 3",M40/M44,L40="Grupo 4",M40/M45,L40="Grupo 5",M40/M46)</f>
        <v>0</v>
      </c>
      <c r="J40" s="56">
        <f>IFS(L40="Grupo 0",0,L40="Grupo 1",K40/K42,L40="Grupo 2",K40/K43,L40="Grupo 3",K40/K44,L40="Grupo 4",K40/K45,L40="Grupo 5",K40/K46)</f>
        <v>0</v>
      </c>
      <c r="K40" s="57">
        <f>IFS(L40="Grupo 0",0,L40="Grupo 1",(E42*I40-F40)*N40,L40="Grupo 2",(E43*I40-F40)*N40,L40="Grupo 3",(E44*I40-F40)*N40,L40="Grupo 4",(E45*I40-F40)*N40,L40="Grupo 5",(E46*I40-F40)*N40)</f>
        <v>0</v>
      </c>
      <c r="L40" s="84" t="s">
        <v>36</v>
      </c>
      <c r="M40" s="84"/>
      <c r="N40" s="59">
        <f t="shared" si="2"/>
        <v>1</v>
      </c>
      <c r="O40" s="143">
        <f>IFS(L40="Grupo 0",0,L40="Grupo 1",J40*D42,L40="Grupo 2",J40*D43,L40="Grupo 3",J40*D44,L40="Grupo 4",J40*D45,L40="Grupo 5",J40*D46)</f>
        <v>0</v>
      </c>
      <c r="P40" s="61"/>
      <c r="Q40" s="50"/>
    </row>
    <row r="41">
      <c r="A41" s="86"/>
      <c r="B41" s="49" t="s">
        <v>42</v>
      </c>
      <c r="C41" s="61">
        <f>SUM(B42:B46)</f>
        <v>0.3</v>
      </c>
      <c r="D41" s="150">
        <f>F41+N1</f>
        <v>6353.749733</v>
      </c>
      <c r="E41" s="151">
        <f>SUM(E3:E40)</f>
        <v>974.1</v>
      </c>
      <c r="F41" s="151">
        <f>SUM(F2:F40)</f>
        <v>5537.45454</v>
      </c>
      <c r="G41" s="50"/>
      <c r="H41" s="49"/>
      <c r="I41" s="89">
        <f t="shared" ref="I41:K41" si="3">SUM(I2:I40)</f>
        <v>5</v>
      </c>
      <c r="J41" s="90">
        <f t="shared" si="3"/>
        <v>5</v>
      </c>
      <c r="K41" s="87">
        <f t="shared" si="3"/>
        <v>844.1911086</v>
      </c>
      <c r="L41" s="91"/>
      <c r="M41" s="91">
        <f>SUM(M2:M40)</f>
        <v>153</v>
      </c>
      <c r="N41" s="92"/>
      <c r="O41" s="93">
        <f t="shared" ref="O41:P41" si="4">SUM(O2:O40)</f>
        <v>816.295193</v>
      </c>
      <c r="P41" s="89">
        <f t="shared" si="4"/>
        <v>0.9412294042</v>
      </c>
      <c r="Q41" s="50"/>
    </row>
    <row r="42">
      <c r="A42" s="86" t="s">
        <v>43</v>
      </c>
      <c r="B42" s="89">
        <f>'Distruibuição de aporte'!B8</f>
        <v>0.1</v>
      </c>
      <c r="C42" s="49" t="s">
        <v>15</v>
      </c>
      <c r="D42" s="152">
        <f>'Distruibuição de aporte'!H8/I46</f>
        <v>274.7221878</v>
      </c>
      <c r="E42" s="150">
        <f t="shared" ref="E42:E46" si="5">D42+F42</f>
        <v>2091.482928</v>
      </c>
      <c r="F42" s="150">
        <f>SUMIF(L2:L40,"Grupo 1",F2:F40)</f>
        <v>1816.76074</v>
      </c>
      <c r="G42" s="90">
        <f>SUMIF(L2:L40,"Grupo 1",G2:G40)</f>
        <v>1</v>
      </c>
      <c r="H42" s="87">
        <f>F42*I46</f>
        <v>9563.246859</v>
      </c>
      <c r="I42" s="91"/>
      <c r="J42" s="94"/>
      <c r="K42" s="95">
        <f>SUMIF(L2:L40,"Grupo 1",K2:K40)</f>
        <v>274.7221878</v>
      </c>
      <c r="L42" s="96"/>
      <c r="M42" s="94">
        <f>SUMIF(L2:L40,"Grupo 1",M2:M40)</f>
        <v>30</v>
      </c>
      <c r="N42" s="97"/>
      <c r="O42" s="97"/>
      <c r="P42" s="50"/>
      <c r="Q42" s="50"/>
    </row>
    <row r="43">
      <c r="A43" s="86" t="s">
        <v>45</v>
      </c>
      <c r="B43" s="89">
        <f>'Distruibuição de aporte'!B9</f>
        <v>0.05</v>
      </c>
      <c r="C43" s="49" t="s">
        <v>16</v>
      </c>
      <c r="D43" s="152">
        <f>'Distruibuição de aporte'!H9/I46</f>
        <v>141.2549754</v>
      </c>
      <c r="E43" s="150">
        <f t="shared" si="5"/>
        <v>1006.512145</v>
      </c>
      <c r="F43" s="150">
        <f>SUMIF(L2:L40,"Grupo 2",F2:F40)</f>
        <v>865.25717</v>
      </c>
      <c r="G43" s="90">
        <f>SUMIF(L2:L40,"Grupo 2",G2:G40)</f>
        <v>1</v>
      </c>
      <c r="H43" s="87">
        <f>F43*I46</f>
        <v>4554.627217</v>
      </c>
      <c r="I43" s="91"/>
      <c r="J43" s="94"/>
      <c r="K43" s="95">
        <f>SUMIF(L2:L40,"Grupo 2",K2:K40)</f>
        <v>141.2549754</v>
      </c>
      <c r="L43" s="96"/>
      <c r="M43" s="94">
        <f>SUMIF(L2:L40,"Grupo 2",M2:M40)</f>
        <v>14</v>
      </c>
      <c r="N43" s="97"/>
      <c r="O43" s="97"/>
      <c r="P43" s="94"/>
      <c r="Q43" s="50"/>
    </row>
    <row r="44">
      <c r="A44" s="86" t="s">
        <v>47</v>
      </c>
      <c r="B44" s="89">
        <f>'Distruibuição de aporte'!B10</f>
        <v>0.05</v>
      </c>
      <c r="C44" s="49" t="s">
        <v>197</v>
      </c>
      <c r="D44" s="152">
        <f>'Distruibuição de aporte'!H10/I46</f>
        <v>134.3854023</v>
      </c>
      <c r="E44" s="150">
        <f t="shared" si="5"/>
        <v>1075.720382</v>
      </c>
      <c r="F44" s="150">
        <f>SUMIF(L2:L40,"Grupo 3",F2:F40)</f>
        <v>941.33498</v>
      </c>
      <c r="G44" s="90">
        <f>SUMIF(L2:L40,"Grupo 3",G2:G40)</f>
        <v>1</v>
      </c>
      <c r="H44" s="87">
        <f>F44*I46</f>
        <v>4955.093201</v>
      </c>
      <c r="I44" s="98"/>
      <c r="J44" s="90"/>
      <c r="K44" s="95">
        <f>SUMIF(L2:L40,"Grupo 3",K2:K40)</f>
        <v>134.3854023</v>
      </c>
      <c r="L44" s="97"/>
      <c r="M44" s="96">
        <f>SUMIF(L2:L40,"Grupo 3",M2:M40)</f>
        <v>32</v>
      </c>
      <c r="N44" s="97"/>
      <c r="O44" s="99"/>
      <c r="P44" s="91"/>
      <c r="Q44" s="50"/>
    </row>
    <row r="45">
      <c r="A45" s="86" t="s">
        <v>49</v>
      </c>
      <c r="B45" s="89">
        <f>'Distruibuição de aporte'!B11</f>
        <v>0.05</v>
      </c>
      <c r="C45" s="49" t="s">
        <v>198</v>
      </c>
      <c r="D45" s="152">
        <f>'Distruibuição de aporte'!H11/I46</f>
        <v>136.1231798</v>
      </c>
      <c r="E45" s="150">
        <f t="shared" si="5"/>
        <v>1058.21296</v>
      </c>
      <c r="F45" s="150">
        <f>SUMIF(L2:L40,"Grupo 4",F2:F40)</f>
        <v>922.08978</v>
      </c>
      <c r="G45" s="90">
        <f>SUMIF(L2:L40,"Grupo 4",G2:G40)</f>
        <v>1</v>
      </c>
      <c r="H45" s="87">
        <f>F45*I46</f>
        <v>4853.788393</v>
      </c>
      <c r="I45" s="87"/>
      <c r="J45" s="91"/>
      <c r="K45" s="87">
        <f>SUMIF(L2:L40,"Grupo 4",K2:K40)</f>
        <v>136.1231798</v>
      </c>
      <c r="L45" s="91"/>
      <c r="M45" s="91">
        <f>SUMIF(L2:L40,"Grupo 4",M2:M40)</f>
        <v>16</v>
      </c>
      <c r="N45" s="99"/>
      <c r="O45" s="99"/>
      <c r="P45" s="91"/>
      <c r="Q45" s="50"/>
    </row>
    <row r="46">
      <c r="A46" s="86" t="s">
        <v>50</v>
      </c>
      <c r="B46" s="89">
        <f>'Distruibuição de aporte'!B12</f>
        <v>0.05</v>
      </c>
      <c r="C46" s="49" t="s">
        <v>199</v>
      </c>
      <c r="D46" s="152">
        <f>'Distruibuição de aporte'!H12/I46</f>
        <v>129.8094477</v>
      </c>
      <c r="E46" s="150">
        <f t="shared" si="5"/>
        <v>1121.821318</v>
      </c>
      <c r="F46" s="150">
        <f>SUMIF(L2:L40,"Grupo 5",F2:F40)</f>
        <v>992.01187</v>
      </c>
      <c r="G46" s="90">
        <f>SUMIF(L2:L40,"Grupo 5",G2:G40)</f>
        <v>1</v>
      </c>
      <c r="H46" s="87">
        <f>F46*I46</f>
        <v>5221.851282</v>
      </c>
      <c r="I46" s="91">
        <f>IFERROR(__xludf.DUMMYFUNCTION("GOOGLEFINANCE(""CURRENCY:USDBRL"")"),5.2639)</f>
        <v>5.2639</v>
      </c>
      <c r="J46" s="100"/>
      <c r="K46" s="95">
        <f>SUMIF(L2:L40,"Grupo 5",K2:K40)</f>
        <v>157.7053633</v>
      </c>
      <c r="L46" s="99"/>
      <c r="M46" s="91">
        <f>SUMIF(L2:L40,"Grupo 5",M2:M40)</f>
        <v>41</v>
      </c>
      <c r="N46" s="99"/>
      <c r="O46" s="99">
        <v>1.0</v>
      </c>
      <c r="P46" s="50"/>
      <c r="Q46" s="50"/>
    </row>
  </sheetData>
  <dataValidations>
    <dataValidation type="list" allowBlank="1" showErrorMessage="1" sqref="L2:L40">
      <formula1>"Grupo 0,Grupo 1,Grupo 2,Grupo 3,Grupo 4,Grupo 5"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0.75"/>
    <col customWidth="1" min="2" max="2" width="9.25"/>
    <col customWidth="1" min="3" max="3" width="8.5"/>
    <col customWidth="1" min="4" max="4" width="8.13"/>
    <col customWidth="1" min="5" max="5" width="7.75"/>
    <col customWidth="1" min="6" max="6" width="7.88"/>
    <col customWidth="1" min="7" max="7" width="7.5"/>
    <col customWidth="1" min="8" max="8" width="8.38"/>
    <col customWidth="1" min="9" max="9" width="7.75"/>
    <col customWidth="1" min="10" max="10" width="8.0"/>
    <col customWidth="1" min="11" max="11" width="8.13"/>
    <col customWidth="1" min="12" max="12" width="7.38"/>
    <col customWidth="1" min="13" max="13" width="7.63"/>
    <col customWidth="1" min="14" max="14" width="8.0"/>
    <col customWidth="1" min="15" max="15" width="8.38"/>
    <col customWidth="1" min="16" max="16" width="8.25"/>
    <col customWidth="1" min="17" max="17" width="7.63"/>
    <col customWidth="1" min="18" max="18" width="7.88"/>
    <col customWidth="1" min="19" max="19" width="8.75"/>
    <col customWidth="1" min="20" max="20" width="7.88"/>
    <col customWidth="1" min="21" max="21" width="8.0"/>
    <col customWidth="1" min="22" max="22" width="8.13"/>
  </cols>
  <sheetData>
    <row r="1">
      <c r="A1" s="153"/>
      <c r="B1" s="154" t="s">
        <v>200</v>
      </c>
      <c r="C1" s="155" t="s">
        <v>56</v>
      </c>
      <c r="D1" s="156" t="s">
        <v>59</v>
      </c>
      <c r="E1" s="157" t="s">
        <v>60</v>
      </c>
      <c r="F1" s="156" t="s">
        <v>61</v>
      </c>
      <c r="G1" s="155" t="s">
        <v>62</v>
      </c>
      <c r="H1" s="156" t="s">
        <v>63</v>
      </c>
      <c r="I1" s="155" t="s">
        <v>65</v>
      </c>
      <c r="J1" s="156" t="s">
        <v>66</v>
      </c>
      <c r="K1" s="155" t="s">
        <v>68</v>
      </c>
      <c r="L1" s="156" t="s">
        <v>69</v>
      </c>
      <c r="M1" s="155" t="s">
        <v>70</v>
      </c>
      <c r="N1" s="156" t="s">
        <v>71</v>
      </c>
      <c r="O1" s="155" t="s">
        <v>73</v>
      </c>
      <c r="P1" s="156" t="s">
        <v>74</v>
      </c>
      <c r="Q1" s="155" t="s">
        <v>201</v>
      </c>
      <c r="R1" s="156" t="s">
        <v>76</v>
      </c>
      <c r="S1" s="155" t="s">
        <v>78</v>
      </c>
      <c r="T1" s="156" t="s">
        <v>79</v>
      </c>
      <c r="U1" s="155" t="s">
        <v>81</v>
      </c>
      <c r="V1" s="156" t="s">
        <v>83</v>
      </c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  <c r="BI1" s="158"/>
      <c r="BJ1" s="158"/>
      <c r="BK1" s="158"/>
      <c r="BL1" s="158"/>
      <c r="BM1" s="158"/>
      <c r="BN1" s="158"/>
      <c r="BO1" s="158"/>
      <c r="BP1" s="158"/>
      <c r="BQ1" s="158"/>
      <c r="BR1" s="158"/>
      <c r="BS1" s="158"/>
      <c r="BT1" s="158"/>
      <c r="BU1" s="158"/>
      <c r="BV1" s="158"/>
      <c r="BW1" s="158"/>
      <c r="BX1" s="158"/>
      <c r="BY1" s="158"/>
      <c r="BZ1" s="158"/>
      <c r="CA1" s="158"/>
      <c r="CB1" s="158"/>
      <c r="CC1" s="158"/>
      <c r="CD1" s="158"/>
      <c r="CE1" s="158"/>
      <c r="CF1" s="158"/>
      <c r="CG1" s="158"/>
      <c r="CH1" s="158"/>
      <c r="CI1" s="158"/>
      <c r="CJ1" s="158"/>
      <c r="CK1" s="159"/>
    </row>
    <row r="2">
      <c r="A2" s="160" t="s">
        <v>202</v>
      </c>
      <c r="B2" s="161"/>
      <c r="CK2" s="162"/>
    </row>
    <row r="3">
      <c r="A3" s="163" t="s">
        <v>203</v>
      </c>
      <c r="C3" s="108" t="s">
        <v>204</v>
      </c>
      <c r="D3" s="108" t="s">
        <v>205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62"/>
    </row>
    <row r="4">
      <c r="A4" s="163" t="s">
        <v>206</v>
      </c>
      <c r="C4" s="108" t="s">
        <v>205</v>
      </c>
      <c r="D4" s="108" t="s">
        <v>205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/>
      <c r="CJ4" s="107"/>
      <c r="CK4" s="162"/>
    </row>
    <row r="5">
      <c r="A5" s="163" t="s">
        <v>207</v>
      </c>
      <c r="C5" s="108" t="s">
        <v>205</v>
      </c>
      <c r="D5" s="108" t="s">
        <v>205</v>
      </c>
      <c r="E5" s="107"/>
      <c r="F5" s="108" t="s">
        <v>204</v>
      </c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/>
      <c r="BX5" s="107"/>
      <c r="BY5" s="107"/>
      <c r="BZ5" s="107"/>
      <c r="CA5" s="107"/>
      <c r="CB5" s="107"/>
      <c r="CC5" s="107"/>
      <c r="CD5" s="107"/>
      <c r="CE5" s="107"/>
      <c r="CF5" s="107"/>
      <c r="CG5" s="107"/>
      <c r="CH5" s="107"/>
      <c r="CI5" s="107"/>
      <c r="CJ5" s="107"/>
      <c r="CK5" s="162"/>
    </row>
    <row r="6">
      <c r="A6" s="163" t="s">
        <v>208</v>
      </c>
      <c r="C6" s="108" t="s">
        <v>205</v>
      </c>
      <c r="D6" s="108" t="s">
        <v>205</v>
      </c>
      <c r="E6" s="107"/>
      <c r="F6" s="108" t="s">
        <v>205</v>
      </c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  <c r="CA6" s="107"/>
      <c r="CB6" s="107"/>
      <c r="CC6" s="107"/>
      <c r="CD6" s="107"/>
      <c r="CE6" s="107"/>
      <c r="CF6" s="107"/>
      <c r="CG6" s="107"/>
      <c r="CH6" s="107"/>
      <c r="CI6" s="107"/>
      <c r="CJ6" s="107"/>
      <c r="CK6" s="162"/>
    </row>
    <row r="7">
      <c r="A7" s="163" t="s">
        <v>209</v>
      </c>
      <c r="C7" s="108" t="s">
        <v>205</v>
      </c>
      <c r="D7" s="108" t="s">
        <v>205</v>
      </c>
      <c r="E7" s="108" t="s">
        <v>204</v>
      </c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62"/>
    </row>
    <row r="8">
      <c r="A8" s="163" t="s">
        <v>210</v>
      </c>
      <c r="C8" s="108" t="s">
        <v>205</v>
      </c>
      <c r="D8" s="108" t="s">
        <v>205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62"/>
    </row>
    <row r="9">
      <c r="A9" s="163" t="s">
        <v>211</v>
      </c>
      <c r="C9" s="108" t="s">
        <v>204</v>
      </c>
      <c r="D9" s="108" t="s">
        <v>205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62"/>
    </row>
    <row r="10">
      <c r="A10" s="163" t="s">
        <v>212</v>
      </c>
      <c r="C10" s="108" t="s">
        <v>205</v>
      </c>
      <c r="D10" s="108" t="s">
        <v>205</v>
      </c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62"/>
    </row>
    <row r="11">
      <c r="A11" s="163" t="s">
        <v>213</v>
      </c>
      <c r="C11" s="108" t="s">
        <v>204</v>
      </c>
      <c r="D11" s="108" t="s">
        <v>205</v>
      </c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62"/>
    </row>
    <row r="12">
      <c r="A12" s="163" t="s">
        <v>214</v>
      </c>
      <c r="C12" s="108" t="s">
        <v>204</v>
      </c>
      <c r="D12" s="108" t="s">
        <v>205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62"/>
    </row>
    <row r="13">
      <c r="A13" s="164"/>
      <c r="B13" s="64"/>
      <c r="C13" s="116">
        <f t="shared" ref="C13:CK13" si="1">COUNTIF(C3:C12,"SIM")</f>
        <v>4</v>
      </c>
      <c r="D13" s="116">
        <f t="shared" si="1"/>
        <v>0</v>
      </c>
      <c r="E13" s="116">
        <f t="shared" si="1"/>
        <v>1</v>
      </c>
      <c r="F13" s="116">
        <f t="shared" si="1"/>
        <v>1</v>
      </c>
      <c r="G13" s="116">
        <f t="shared" si="1"/>
        <v>0</v>
      </c>
      <c r="H13" s="116">
        <f t="shared" si="1"/>
        <v>0</v>
      </c>
      <c r="I13" s="116">
        <f t="shared" si="1"/>
        <v>0</v>
      </c>
      <c r="J13" s="116">
        <f t="shared" si="1"/>
        <v>0</v>
      </c>
      <c r="K13" s="116">
        <f t="shared" si="1"/>
        <v>0</v>
      </c>
      <c r="L13" s="116">
        <f t="shared" si="1"/>
        <v>0</v>
      </c>
      <c r="M13" s="116">
        <f t="shared" si="1"/>
        <v>0</v>
      </c>
      <c r="N13" s="116">
        <f t="shared" si="1"/>
        <v>0</v>
      </c>
      <c r="O13" s="116">
        <f t="shared" si="1"/>
        <v>0</v>
      </c>
      <c r="P13" s="116">
        <f t="shared" si="1"/>
        <v>0</v>
      </c>
      <c r="Q13" s="116">
        <f t="shared" si="1"/>
        <v>0</v>
      </c>
      <c r="R13" s="116">
        <f t="shared" si="1"/>
        <v>0</v>
      </c>
      <c r="S13" s="116">
        <f t="shared" si="1"/>
        <v>0</v>
      </c>
      <c r="T13" s="116">
        <f t="shared" si="1"/>
        <v>0</v>
      </c>
      <c r="U13" s="116">
        <f t="shared" si="1"/>
        <v>0</v>
      </c>
      <c r="V13" s="116">
        <f t="shared" si="1"/>
        <v>0</v>
      </c>
      <c r="W13" s="116">
        <f t="shared" si="1"/>
        <v>0</v>
      </c>
      <c r="X13" s="116">
        <f t="shared" si="1"/>
        <v>0</v>
      </c>
      <c r="Y13" s="116">
        <f t="shared" si="1"/>
        <v>0</v>
      </c>
      <c r="Z13" s="116">
        <f t="shared" si="1"/>
        <v>0</v>
      </c>
      <c r="AA13" s="116">
        <f t="shared" si="1"/>
        <v>0</v>
      </c>
      <c r="AB13" s="116">
        <f t="shared" si="1"/>
        <v>0</v>
      </c>
      <c r="AC13" s="116">
        <f t="shared" si="1"/>
        <v>0</v>
      </c>
      <c r="AD13" s="116">
        <f t="shared" si="1"/>
        <v>0</v>
      </c>
      <c r="AE13" s="116">
        <f t="shared" si="1"/>
        <v>0</v>
      </c>
      <c r="AF13" s="116">
        <f t="shared" si="1"/>
        <v>0</v>
      </c>
      <c r="AG13" s="116">
        <f t="shared" si="1"/>
        <v>0</v>
      </c>
      <c r="AH13" s="116">
        <f t="shared" si="1"/>
        <v>0</v>
      </c>
      <c r="AI13" s="116">
        <f t="shared" si="1"/>
        <v>0</v>
      </c>
      <c r="AJ13" s="116">
        <f t="shared" si="1"/>
        <v>0</v>
      </c>
      <c r="AK13" s="116">
        <f t="shared" si="1"/>
        <v>0</v>
      </c>
      <c r="AL13" s="116">
        <f t="shared" si="1"/>
        <v>0</v>
      </c>
      <c r="AM13" s="116">
        <f t="shared" si="1"/>
        <v>0</v>
      </c>
      <c r="AN13" s="116">
        <f t="shared" si="1"/>
        <v>0</v>
      </c>
      <c r="AO13" s="116">
        <f t="shared" si="1"/>
        <v>0</v>
      </c>
      <c r="AP13" s="116">
        <f t="shared" si="1"/>
        <v>0</v>
      </c>
      <c r="AQ13" s="116">
        <f t="shared" si="1"/>
        <v>0</v>
      </c>
      <c r="AR13" s="116">
        <f t="shared" si="1"/>
        <v>0</v>
      </c>
      <c r="AS13" s="116">
        <f t="shared" si="1"/>
        <v>0</v>
      </c>
      <c r="AT13" s="116">
        <f t="shared" si="1"/>
        <v>0</v>
      </c>
      <c r="AU13" s="116">
        <f t="shared" si="1"/>
        <v>0</v>
      </c>
      <c r="AV13" s="116">
        <f t="shared" si="1"/>
        <v>0</v>
      </c>
      <c r="AW13" s="116">
        <f t="shared" si="1"/>
        <v>0</v>
      </c>
      <c r="AX13" s="116">
        <f t="shared" si="1"/>
        <v>0</v>
      </c>
      <c r="AY13" s="116">
        <f t="shared" si="1"/>
        <v>0</v>
      </c>
      <c r="AZ13" s="116">
        <f t="shared" si="1"/>
        <v>0</v>
      </c>
      <c r="BA13" s="116">
        <f t="shared" si="1"/>
        <v>0</v>
      </c>
      <c r="BB13" s="116">
        <f t="shared" si="1"/>
        <v>0</v>
      </c>
      <c r="BC13" s="116">
        <f t="shared" si="1"/>
        <v>0</v>
      </c>
      <c r="BD13" s="116">
        <f t="shared" si="1"/>
        <v>0</v>
      </c>
      <c r="BE13" s="116">
        <f t="shared" si="1"/>
        <v>0</v>
      </c>
      <c r="BF13" s="116">
        <f t="shared" si="1"/>
        <v>0</v>
      </c>
      <c r="BG13" s="116">
        <f t="shared" si="1"/>
        <v>0</v>
      </c>
      <c r="BH13" s="116">
        <f t="shared" si="1"/>
        <v>0</v>
      </c>
      <c r="BI13" s="116">
        <f t="shared" si="1"/>
        <v>0</v>
      </c>
      <c r="BJ13" s="116">
        <f t="shared" si="1"/>
        <v>0</v>
      </c>
      <c r="BK13" s="116">
        <f t="shared" si="1"/>
        <v>0</v>
      </c>
      <c r="BL13" s="116">
        <f t="shared" si="1"/>
        <v>0</v>
      </c>
      <c r="BM13" s="116">
        <f t="shared" si="1"/>
        <v>0</v>
      </c>
      <c r="BN13" s="116">
        <f t="shared" si="1"/>
        <v>0</v>
      </c>
      <c r="BO13" s="116">
        <f t="shared" si="1"/>
        <v>0</v>
      </c>
      <c r="BP13" s="116">
        <f t="shared" si="1"/>
        <v>0</v>
      </c>
      <c r="BQ13" s="116">
        <f t="shared" si="1"/>
        <v>0</v>
      </c>
      <c r="BR13" s="116">
        <f t="shared" si="1"/>
        <v>0</v>
      </c>
      <c r="BS13" s="116">
        <f t="shared" si="1"/>
        <v>0</v>
      </c>
      <c r="BT13" s="116">
        <f t="shared" si="1"/>
        <v>0</v>
      </c>
      <c r="BU13" s="116">
        <f t="shared" si="1"/>
        <v>0</v>
      </c>
      <c r="BV13" s="116">
        <f t="shared" si="1"/>
        <v>0</v>
      </c>
      <c r="BW13" s="116">
        <f t="shared" si="1"/>
        <v>0</v>
      </c>
      <c r="BX13" s="116">
        <f t="shared" si="1"/>
        <v>0</v>
      </c>
      <c r="BY13" s="116">
        <f t="shared" si="1"/>
        <v>0</v>
      </c>
      <c r="BZ13" s="116">
        <f t="shared" si="1"/>
        <v>0</v>
      </c>
      <c r="CA13" s="116">
        <f t="shared" si="1"/>
        <v>0</v>
      </c>
      <c r="CB13" s="116">
        <f t="shared" si="1"/>
        <v>0</v>
      </c>
      <c r="CC13" s="116">
        <f t="shared" si="1"/>
        <v>0</v>
      </c>
      <c r="CD13" s="116">
        <f t="shared" si="1"/>
        <v>0</v>
      </c>
      <c r="CE13" s="116">
        <f t="shared" si="1"/>
        <v>0</v>
      </c>
      <c r="CF13" s="116">
        <f t="shared" si="1"/>
        <v>0</v>
      </c>
      <c r="CG13" s="116">
        <f t="shared" si="1"/>
        <v>0</v>
      </c>
      <c r="CH13" s="116">
        <f t="shared" si="1"/>
        <v>0</v>
      </c>
      <c r="CI13" s="116">
        <f t="shared" si="1"/>
        <v>0</v>
      </c>
      <c r="CJ13" s="116">
        <f t="shared" si="1"/>
        <v>0</v>
      </c>
      <c r="CK13" s="165">
        <f t="shared" si="1"/>
        <v>0</v>
      </c>
    </row>
    <row r="14">
      <c r="A14" s="163" t="s">
        <v>215</v>
      </c>
      <c r="B14" s="166">
        <f>SUMIF(C15:CK15,"&gt;=0",C15:CK15)</f>
        <v>1</v>
      </c>
      <c r="C14" s="116">
        <f t="shared" ref="C14:CK14" si="2">-COUNTIF(C3:C12,"NÃO")</f>
        <v>-6</v>
      </c>
      <c r="D14" s="116">
        <f t="shared" si="2"/>
        <v>-10</v>
      </c>
      <c r="E14" s="116">
        <f t="shared" si="2"/>
        <v>0</v>
      </c>
      <c r="F14" s="116">
        <f t="shared" si="2"/>
        <v>-1</v>
      </c>
      <c r="G14" s="116">
        <f t="shared" si="2"/>
        <v>0</v>
      </c>
      <c r="H14" s="116">
        <f t="shared" si="2"/>
        <v>0</v>
      </c>
      <c r="I14" s="116">
        <f t="shared" si="2"/>
        <v>0</v>
      </c>
      <c r="J14" s="116">
        <f t="shared" si="2"/>
        <v>0</v>
      </c>
      <c r="K14" s="116">
        <f t="shared" si="2"/>
        <v>0</v>
      </c>
      <c r="L14" s="116">
        <f t="shared" si="2"/>
        <v>0</v>
      </c>
      <c r="M14" s="116">
        <f t="shared" si="2"/>
        <v>0</v>
      </c>
      <c r="N14" s="116">
        <f t="shared" si="2"/>
        <v>0</v>
      </c>
      <c r="O14" s="116">
        <f t="shared" si="2"/>
        <v>0</v>
      </c>
      <c r="P14" s="116">
        <f t="shared" si="2"/>
        <v>0</v>
      </c>
      <c r="Q14" s="116">
        <f t="shared" si="2"/>
        <v>0</v>
      </c>
      <c r="R14" s="116">
        <f t="shared" si="2"/>
        <v>0</v>
      </c>
      <c r="S14" s="116">
        <f t="shared" si="2"/>
        <v>0</v>
      </c>
      <c r="T14" s="116">
        <f t="shared" si="2"/>
        <v>0</v>
      </c>
      <c r="U14" s="116">
        <f t="shared" si="2"/>
        <v>0</v>
      </c>
      <c r="V14" s="116">
        <f t="shared" si="2"/>
        <v>0</v>
      </c>
      <c r="W14" s="116">
        <f t="shared" si="2"/>
        <v>0</v>
      </c>
      <c r="X14" s="116">
        <f t="shared" si="2"/>
        <v>0</v>
      </c>
      <c r="Y14" s="116">
        <f t="shared" si="2"/>
        <v>0</v>
      </c>
      <c r="Z14" s="116">
        <f t="shared" si="2"/>
        <v>0</v>
      </c>
      <c r="AA14" s="116">
        <f t="shared" si="2"/>
        <v>0</v>
      </c>
      <c r="AB14" s="116">
        <f t="shared" si="2"/>
        <v>0</v>
      </c>
      <c r="AC14" s="116">
        <f t="shared" si="2"/>
        <v>0</v>
      </c>
      <c r="AD14" s="116">
        <f t="shared" si="2"/>
        <v>0</v>
      </c>
      <c r="AE14" s="116">
        <f t="shared" si="2"/>
        <v>0</v>
      </c>
      <c r="AF14" s="116">
        <f t="shared" si="2"/>
        <v>0</v>
      </c>
      <c r="AG14" s="116">
        <f t="shared" si="2"/>
        <v>0</v>
      </c>
      <c r="AH14" s="116">
        <f t="shared" si="2"/>
        <v>0</v>
      </c>
      <c r="AI14" s="116">
        <f t="shared" si="2"/>
        <v>0</v>
      </c>
      <c r="AJ14" s="116">
        <f t="shared" si="2"/>
        <v>0</v>
      </c>
      <c r="AK14" s="116">
        <f t="shared" si="2"/>
        <v>0</v>
      </c>
      <c r="AL14" s="116">
        <f t="shared" si="2"/>
        <v>0</v>
      </c>
      <c r="AM14" s="116">
        <f t="shared" si="2"/>
        <v>0</v>
      </c>
      <c r="AN14" s="116">
        <f t="shared" si="2"/>
        <v>0</v>
      </c>
      <c r="AO14" s="116">
        <f t="shared" si="2"/>
        <v>0</v>
      </c>
      <c r="AP14" s="116">
        <f t="shared" si="2"/>
        <v>0</v>
      </c>
      <c r="AQ14" s="116">
        <f t="shared" si="2"/>
        <v>0</v>
      </c>
      <c r="AR14" s="116">
        <f t="shared" si="2"/>
        <v>0</v>
      </c>
      <c r="AS14" s="116">
        <f t="shared" si="2"/>
        <v>0</v>
      </c>
      <c r="AT14" s="116">
        <f t="shared" si="2"/>
        <v>0</v>
      </c>
      <c r="AU14" s="116">
        <f t="shared" si="2"/>
        <v>0</v>
      </c>
      <c r="AV14" s="116">
        <f t="shared" si="2"/>
        <v>0</v>
      </c>
      <c r="AW14" s="116">
        <f t="shared" si="2"/>
        <v>0</v>
      </c>
      <c r="AX14" s="116">
        <f t="shared" si="2"/>
        <v>0</v>
      </c>
      <c r="AY14" s="116">
        <f t="shared" si="2"/>
        <v>0</v>
      </c>
      <c r="AZ14" s="116">
        <f t="shared" si="2"/>
        <v>0</v>
      </c>
      <c r="BA14" s="116">
        <f t="shared" si="2"/>
        <v>0</v>
      </c>
      <c r="BB14" s="116">
        <f t="shared" si="2"/>
        <v>0</v>
      </c>
      <c r="BC14" s="116">
        <f t="shared" si="2"/>
        <v>0</v>
      </c>
      <c r="BD14" s="116">
        <f t="shared" si="2"/>
        <v>0</v>
      </c>
      <c r="BE14" s="116">
        <f t="shared" si="2"/>
        <v>0</v>
      </c>
      <c r="BF14" s="116">
        <f t="shared" si="2"/>
        <v>0</v>
      </c>
      <c r="BG14" s="116">
        <f t="shared" si="2"/>
        <v>0</v>
      </c>
      <c r="BH14" s="116">
        <f t="shared" si="2"/>
        <v>0</v>
      </c>
      <c r="BI14" s="116">
        <f t="shared" si="2"/>
        <v>0</v>
      </c>
      <c r="BJ14" s="116">
        <f t="shared" si="2"/>
        <v>0</v>
      </c>
      <c r="BK14" s="116">
        <f t="shared" si="2"/>
        <v>0</v>
      </c>
      <c r="BL14" s="116">
        <f t="shared" si="2"/>
        <v>0</v>
      </c>
      <c r="BM14" s="116">
        <f t="shared" si="2"/>
        <v>0</v>
      </c>
      <c r="BN14" s="116">
        <f t="shared" si="2"/>
        <v>0</v>
      </c>
      <c r="BO14" s="116">
        <f t="shared" si="2"/>
        <v>0</v>
      </c>
      <c r="BP14" s="116">
        <f t="shared" si="2"/>
        <v>0</v>
      </c>
      <c r="BQ14" s="116">
        <f t="shared" si="2"/>
        <v>0</v>
      </c>
      <c r="BR14" s="116">
        <f t="shared" si="2"/>
        <v>0</v>
      </c>
      <c r="BS14" s="116">
        <f t="shared" si="2"/>
        <v>0</v>
      </c>
      <c r="BT14" s="116">
        <f t="shared" si="2"/>
        <v>0</v>
      </c>
      <c r="BU14" s="116">
        <f t="shared" si="2"/>
        <v>0</v>
      </c>
      <c r="BV14" s="116">
        <f t="shared" si="2"/>
        <v>0</v>
      </c>
      <c r="BW14" s="116">
        <f t="shared" si="2"/>
        <v>0</v>
      </c>
      <c r="BX14" s="116">
        <f t="shared" si="2"/>
        <v>0</v>
      </c>
      <c r="BY14" s="116">
        <f t="shared" si="2"/>
        <v>0</v>
      </c>
      <c r="BZ14" s="116">
        <f t="shared" si="2"/>
        <v>0</v>
      </c>
      <c r="CA14" s="116">
        <f t="shared" si="2"/>
        <v>0</v>
      </c>
      <c r="CB14" s="116">
        <f t="shared" si="2"/>
        <v>0</v>
      </c>
      <c r="CC14" s="116">
        <f t="shared" si="2"/>
        <v>0</v>
      </c>
      <c r="CD14" s="116">
        <f t="shared" si="2"/>
        <v>0</v>
      </c>
      <c r="CE14" s="116">
        <f t="shared" si="2"/>
        <v>0</v>
      </c>
      <c r="CF14" s="116">
        <f t="shared" si="2"/>
        <v>0</v>
      </c>
      <c r="CG14" s="116">
        <f t="shared" si="2"/>
        <v>0</v>
      </c>
      <c r="CH14" s="116">
        <f t="shared" si="2"/>
        <v>0</v>
      </c>
      <c r="CI14" s="116">
        <f t="shared" si="2"/>
        <v>0</v>
      </c>
      <c r="CJ14" s="116">
        <f t="shared" si="2"/>
        <v>0</v>
      </c>
      <c r="CK14" s="165">
        <f t="shared" si="2"/>
        <v>0</v>
      </c>
    </row>
    <row r="15">
      <c r="A15" s="167" t="s">
        <v>87</v>
      </c>
      <c r="B15" s="168"/>
      <c r="C15" s="169">
        <f t="shared" ref="C15:CK15" si="3">C13+C14</f>
        <v>-2</v>
      </c>
      <c r="D15" s="169">
        <f t="shared" si="3"/>
        <v>-10</v>
      </c>
      <c r="E15" s="169">
        <f t="shared" si="3"/>
        <v>1</v>
      </c>
      <c r="F15" s="169">
        <f t="shared" si="3"/>
        <v>0</v>
      </c>
      <c r="G15" s="169">
        <f t="shared" si="3"/>
        <v>0</v>
      </c>
      <c r="H15" s="169">
        <f t="shared" si="3"/>
        <v>0</v>
      </c>
      <c r="I15" s="169">
        <f t="shared" si="3"/>
        <v>0</v>
      </c>
      <c r="J15" s="169">
        <f t="shared" si="3"/>
        <v>0</v>
      </c>
      <c r="K15" s="169">
        <f t="shared" si="3"/>
        <v>0</v>
      </c>
      <c r="L15" s="169">
        <f t="shared" si="3"/>
        <v>0</v>
      </c>
      <c r="M15" s="169">
        <f t="shared" si="3"/>
        <v>0</v>
      </c>
      <c r="N15" s="169">
        <f t="shared" si="3"/>
        <v>0</v>
      </c>
      <c r="O15" s="169">
        <f t="shared" si="3"/>
        <v>0</v>
      </c>
      <c r="P15" s="169">
        <f t="shared" si="3"/>
        <v>0</v>
      </c>
      <c r="Q15" s="169">
        <f t="shared" si="3"/>
        <v>0</v>
      </c>
      <c r="R15" s="169">
        <f t="shared" si="3"/>
        <v>0</v>
      </c>
      <c r="S15" s="169">
        <f t="shared" si="3"/>
        <v>0</v>
      </c>
      <c r="T15" s="169">
        <f t="shared" si="3"/>
        <v>0</v>
      </c>
      <c r="U15" s="169">
        <f t="shared" si="3"/>
        <v>0</v>
      </c>
      <c r="V15" s="169">
        <f t="shared" si="3"/>
        <v>0</v>
      </c>
      <c r="W15" s="169">
        <f t="shared" si="3"/>
        <v>0</v>
      </c>
      <c r="X15" s="169">
        <f t="shared" si="3"/>
        <v>0</v>
      </c>
      <c r="Y15" s="169">
        <f t="shared" si="3"/>
        <v>0</v>
      </c>
      <c r="Z15" s="169">
        <f t="shared" si="3"/>
        <v>0</v>
      </c>
      <c r="AA15" s="169">
        <f t="shared" si="3"/>
        <v>0</v>
      </c>
      <c r="AB15" s="169">
        <f t="shared" si="3"/>
        <v>0</v>
      </c>
      <c r="AC15" s="169">
        <f t="shared" si="3"/>
        <v>0</v>
      </c>
      <c r="AD15" s="169">
        <f t="shared" si="3"/>
        <v>0</v>
      </c>
      <c r="AE15" s="169">
        <f t="shared" si="3"/>
        <v>0</v>
      </c>
      <c r="AF15" s="169">
        <f t="shared" si="3"/>
        <v>0</v>
      </c>
      <c r="AG15" s="169">
        <f t="shared" si="3"/>
        <v>0</v>
      </c>
      <c r="AH15" s="169">
        <f t="shared" si="3"/>
        <v>0</v>
      </c>
      <c r="AI15" s="169">
        <f t="shared" si="3"/>
        <v>0</v>
      </c>
      <c r="AJ15" s="169">
        <f t="shared" si="3"/>
        <v>0</v>
      </c>
      <c r="AK15" s="169">
        <f t="shared" si="3"/>
        <v>0</v>
      </c>
      <c r="AL15" s="169">
        <f t="shared" si="3"/>
        <v>0</v>
      </c>
      <c r="AM15" s="169">
        <f t="shared" si="3"/>
        <v>0</v>
      </c>
      <c r="AN15" s="169">
        <f t="shared" si="3"/>
        <v>0</v>
      </c>
      <c r="AO15" s="169">
        <f t="shared" si="3"/>
        <v>0</v>
      </c>
      <c r="AP15" s="169">
        <f t="shared" si="3"/>
        <v>0</v>
      </c>
      <c r="AQ15" s="169">
        <f t="shared" si="3"/>
        <v>0</v>
      </c>
      <c r="AR15" s="169">
        <f t="shared" si="3"/>
        <v>0</v>
      </c>
      <c r="AS15" s="169">
        <f t="shared" si="3"/>
        <v>0</v>
      </c>
      <c r="AT15" s="169">
        <f t="shared" si="3"/>
        <v>0</v>
      </c>
      <c r="AU15" s="169">
        <f t="shared" si="3"/>
        <v>0</v>
      </c>
      <c r="AV15" s="169">
        <f t="shared" si="3"/>
        <v>0</v>
      </c>
      <c r="AW15" s="169">
        <f t="shared" si="3"/>
        <v>0</v>
      </c>
      <c r="AX15" s="169">
        <f t="shared" si="3"/>
        <v>0</v>
      </c>
      <c r="AY15" s="169">
        <f t="shared" si="3"/>
        <v>0</v>
      </c>
      <c r="AZ15" s="169">
        <f t="shared" si="3"/>
        <v>0</v>
      </c>
      <c r="BA15" s="169">
        <f t="shared" si="3"/>
        <v>0</v>
      </c>
      <c r="BB15" s="169">
        <f t="shared" si="3"/>
        <v>0</v>
      </c>
      <c r="BC15" s="169">
        <f t="shared" si="3"/>
        <v>0</v>
      </c>
      <c r="BD15" s="169">
        <f t="shared" si="3"/>
        <v>0</v>
      </c>
      <c r="BE15" s="169">
        <f t="shared" si="3"/>
        <v>0</v>
      </c>
      <c r="BF15" s="169">
        <f t="shared" si="3"/>
        <v>0</v>
      </c>
      <c r="BG15" s="169">
        <f t="shared" si="3"/>
        <v>0</v>
      </c>
      <c r="BH15" s="169">
        <f t="shared" si="3"/>
        <v>0</v>
      </c>
      <c r="BI15" s="169">
        <f t="shared" si="3"/>
        <v>0</v>
      </c>
      <c r="BJ15" s="169">
        <f t="shared" si="3"/>
        <v>0</v>
      </c>
      <c r="BK15" s="169">
        <f t="shared" si="3"/>
        <v>0</v>
      </c>
      <c r="BL15" s="169">
        <f t="shared" si="3"/>
        <v>0</v>
      </c>
      <c r="BM15" s="169">
        <f t="shared" si="3"/>
        <v>0</v>
      </c>
      <c r="BN15" s="169">
        <f t="shared" si="3"/>
        <v>0</v>
      </c>
      <c r="BO15" s="169">
        <f t="shared" si="3"/>
        <v>0</v>
      </c>
      <c r="BP15" s="169">
        <f t="shared" si="3"/>
        <v>0</v>
      </c>
      <c r="BQ15" s="169">
        <f t="shared" si="3"/>
        <v>0</v>
      </c>
      <c r="BR15" s="169">
        <f t="shared" si="3"/>
        <v>0</v>
      </c>
      <c r="BS15" s="169">
        <f t="shared" si="3"/>
        <v>0</v>
      </c>
      <c r="BT15" s="169">
        <f t="shared" si="3"/>
        <v>0</v>
      </c>
      <c r="BU15" s="169">
        <f t="shared" si="3"/>
        <v>0</v>
      </c>
      <c r="BV15" s="169">
        <f t="shared" si="3"/>
        <v>0</v>
      </c>
      <c r="BW15" s="169">
        <f t="shared" si="3"/>
        <v>0</v>
      </c>
      <c r="BX15" s="169">
        <f t="shared" si="3"/>
        <v>0</v>
      </c>
      <c r="BY15" s="169">
        <f t="shared" si="3"/>
        <v>0</v>
      </c>
      <c r="BZ15" s="169">
        <f t="shared" si="3"/>
        <v>0</v>
      </c>
      <c r="CA15" s="169">
        <f t="shared" si="3"/>
        <v>0</v>
      </c>
      <c r="CB15" s="169">
        <f t="shared" si="3"/>
        <v>0</v>
      </c>
      <c r="CC15" s="169">
        <f t="shared" si="3"/>
        <v>0</v>
      </c>
      <c r="CD15" s="169">
        <f t="shared" si="3"/>
        <v>0</v>
      </c>
      <c r="CE15" s="169">
        <f t="shared" si="3"/>
        <v>0</v>
      </c>
      <c r="CF15" s="169">
        <f t="shared" si="3"/>
        <v>0</v>
      </c>
      <c r="CG15" s="169">
        <f t="shared" si="3"/>
        <v>0</v>
      </c>
      <c r="CH15" s="169">
        <f t="shared" si="3"/>
        <v>0</v>
      </c>
      <c r="CI15" s="169">
        <f t="shared" si="3"/>
        <v>0</v>
      </c>
      <c r="CJ15" s="169">
        <f t="shared" si="3"/>
        <v>0</v>
      </c>
      <c r="CK15" s="170">
        <f t="shared" si="3"/>
        <v>0</v>
      </c>
    </row>
    <row r="22">
      <c r="A22" s="153"/>
      <c r="B22" s="154" t="s">
        <v>200</v>
      </c>
      <c r="C22" s="52" t="s">
        <v>89</v>
      </c>
      <c r="D22" s="108" t="s">
        <v>90</v>
      </c>
      <c r="E22" s="76" t="s">
        <v>91</v>
      </c>
      <c r="F22" s="108" t="s">
        <v>92</v>
      </c>
      <c r="G22" s="52" t="s">
        <v>95</v>
      </c>
      <c r="H22" s="108" t="s">
        <v>97</v>
      </c>
      <c r="I22" s="52" t="s">
        <v>99</v>
      </c>
      <c r="J22" s="63" t="s">
        <v>100</v>
      </c>
      <c r="K22" s="52" t="s">
        <v>103</v>
      </c>
      <c r="L22" s="63" t="s">
        <v>104</v>
      </c>
      <c r="M22" s="52" t="s">
        <v>105</v>
      </c>
      <c r="N22" s="63" t="s">
        <v>106</v>
      </c>
      <c r="O22" s="52" t="s">
        <v>107</v>
      </c>
      <c r="P22" s="63" t="s">
        <v>108</v>
      </c>
      <c r="Q22" s="52" t="s">
        <v>109</v>
      </c>
      <c r="R22" s="63" t="s">
        <v>111</v>
      </c>
      <c r="S22" s="52" t="s">
        <v>112</v>
      </c>
      <c r="T22" s="156" t="s">
        <v>113</v>
      </c>
      <c r="U22" s="155" t="s">
        <v>114</v>
      </c>
      <c r="V22" s="156" t="s">
        <v>115</v>
      </c>
      <c r="W22" s="156" t="s">
        <v>116</v>
      </c>
      <c r="X22" s="156" t="s">
        <v>117</v>
      </c>
      <c r="Y22" s="156" t="s">
        <v>216</v>
      </c>
      <c r="Z22" s="156" t="s">
        <v>119</v>
      </c>
      <c r="AA22" s="156" t="s">
        <v>120</v>
      </c>
      <c r="AB22" s="156" t="s">
        <v>121</v>
      </c>
      <c r="AC22" s="156" t="s">
        <v>122</v>
      </c>
      <c r="AD22" s="156" t="s">
        <v>123</v>
      </c>
      <c r="AE22" s="156" t="s">
        <v>124</v>
      </c>
      <c r="AF22" s="156" t="s">
        <v>125</v>
      </c>
      <c r="AG22" s="156" t="s">
        <v>126</v>
      </c>
      <c r="AH22" s="156" t="s">
        <v>127</v>
      </c>
      <c r="AI22" s="156" t="s">
        <v>128</v>
      </c>
      <c r="AJ22" s="156" t="s">
        <v>129</v>
      </c>
      <c r="AK22" s="156" t="s">
        <v>130</v>
      </c>
      <c r="AL22" s="156" t="s">
        <v>217</v>
      </c>
      <c r="AM22" s="156" t="s">
        <v>131</v>
      </c>
      <c r="AN22" s="156" t="s">
        <v>132</v>
      </c>
      <c r="AO22" s="156" t="s">
        <v>133</v>
      </c>
      <c r="AP22" s="156" t="s">
        <v>134</v>
      </c>
      <c r="AQ22" s="156" t="s">
        <v>135</v>
      </c>
      <c r="AR22" s="156" t="s">
        <v>136</v>
      </c>
      <c r="AS22" s="156" t="s">
        <v>137</v>
      </c>
      <c r="AT22" s="156" t="s">
        <v>138</v>
      </c>
      <c r="AU22" s="156" t="s">
        <v>139</v>
      </c>
      <c r="AV22" s="156" t="s">
        <v>140</v>
      </c>
      <c r="AW22" s="156" t="s">
        <v>141</v>
      </c>
      <c r="AX22" s="156" t="s">
        <v>142</v>
      </c>
      <c r="AY22" s="156" t="s">
        <v>143</v>
      </c>
      <c r="AZ22" s="156" t="s">
        <v>144</v>
      </c>
      <c r="BA22" s="156" t="s">
        <v>145</v>
      </c>
      <c r="BB22" s="156" t="s">
        <v>146</v>
      </c>
      <c r="BC22" s="156" t="s">
        <v>218</v>
      </c>
      <c r="BD22" s="156" t="s">
        <v>147</v>
      </c>
      <c r="BE22" s="156" t="s">
        <v>148</v>
      </c>
      <c r="BF22" s="156" t="s">
        <v>149</v>
      </c>
      <c r="BG22" s="156" t="s">
        <v>150</v>
      </c>
      <c r="BH22" s="156" t="s">
        <v>151</v>
      </c>
      <c r="BI22" s="156" t="s">
        <v>152</v>
      </c>
      <c r="BJ22" s="156" t="s">
        <v>153</v>
      </c>
      <c r="BK22" s="156" t="s">
        <v>154</v>
      </c>
      <c r="BL22" s="156" t="s">
        <v>155</v>
      </c>
      <c r="BM22" s="156" t="s">
        <v>156</v>
      </c>
      <c r="BN22" s="156" t="s">
        <v>157</v>
      </c>
      <c r="BO22" s="156" t="s">
        <v>158</v>
      </c>
      <c r="BP22" s="156" t="s">
        <v>159</v>
      </c>
      <c r="BQ22" s="156" t="s">
        <v>160</v>
      </c>
      <c r="BR22" s="156" t="s">
        <v>161</v>
      </c>
      <c r="BS22" s="156" t="s">
        <v>162</v>
      </c>
      <c r="BT22" s="156" t="s">
        <v>163</v>
      </c>
      <c r="BU22" s="156" t="s">
        <v>164</v>
      </c>
      <c r="BV22" s="156" t="s">
        <v>165</v>
      </c>
      <c r="BW22" s="156" t="s">
        <v>166</v>
      </c>
      <c r="BX22" s="156" t="s">
        <v>167</v>
      </c>
      <c r="BY22" s="156" t="s">
        <v>168</v>
      </c>
      <c r="BZ22" s="156" t="s">
        <v>169</v>
      </c>
      <c r="CA22" s="156" t="s">
        <v>170</v>
      </c>
      <c r="CB22" s="156" t="s">
        <v>171</v>
      </c>
      <c r="CC22" s="156" t="s">
        <v>172</v>
      </c>
      <c r="CD22" s="156" t="s">
        <v>173</v>
      </c>
      <c r="CE22" s="156" t="s">
        <v>174</v>
      </c>
      <c r="CF22" s="156" t="s">
        <v>175</v>
      </c>
      <c r="CG22" s="156" t="s">
        <v>176</v>
      </c>
      <c r="CH22" s="156" t="s">
        <v>177</v>
      </c>
      <c r="CI22" s="156" t="s">
        <v>178</v>
      </c>
      <c r="CJ22" s="158"/>
      <c r="CK22" s="159"/>
    </row>
    <row r="23">
      <c r="A23" s="160" t="s">
        <v>202</v>
      </c>
      <c r="B23" s="161"/>
      <c r="CK23" s="162"/>
    </row>
    <row r="24">
      <c r="A24" s="163" t="s">
        <v>219</v>
      </c>
      <c r="C24" s="108" t="s">
        <v>204</v>
      </c>
      <c r="D24" s="108" t="s">
        <v>204</v>
      </c>
      <c r="E24" s="108" t="s">
        <v>204</v>
      </c>
      <c r="F24" s="108" t="s">
        <v>204</v>
      </c>
      <c r="G24" s="108" t="s">
        <v>204</v>
      </c>
      <c r="H24" s="108" t="s">
        <v>204</v>
      </c>
      <c r="I24" s="108" t="s">
        <v>204</v>
      </c>
      <c r="J24" s="108" t="s">
        <v>204</v>
      </c>
      <c r="K24" s="108" t="s">
        <v>204</v>
      </c>
      <c r="L24" s="108" t="s">
        <v>204</v>
      </c>
      <c r="M24" s="108" t="s">
        <v>205</v>
      </c>
      <c r="N24" s="108" t="s">
        <v>204</v>
      </c>
      <c r="O24" s="108" t="s">
        <v>204</v>
      </c>
      <c r="P24" s="108" t="s">
        <v>204</v>
      </c>
      <c r="Q24" s="108" t="s">
        <v>204</v>
      </c>
      <c r="R24" s="108" t="s">
        <v>204</v>
      </c>
      <c r="S24" s="108" t="s">
        <v>204</v>
      </c>
      <c r="T24" s="108" t="s">
        <v>204</v>
      </c>
      <c r="U24" s="108" t="s">
        <v>204</v>
      </c>
      <c r="V24" s="108" t="s">
        <v>204</v>
      </c>
      <c r="W24" s="108" t="s">
        <v>204</v>
      </c>
      <c r="X24" s="108" t="s">
        <v>204</v>
      </c>
      <c r="Y24" s="108" t="s">
        <v>204</v>
      </c>
      <c r="Z24" s="108" t="s">
        <v>204</v>
      </c>
      <c r="AA24" s="108" t="s">
        <v>205</v>
      </c>
      <c r="AB24" s="108" t="s">
        <v>204</v>
      </c>
      <c r="AC24" s="108" t="s">
        <v>204</v>
      </c>
      <c r="AD24" s="108" t="s">
        <v>205</v>
      </c>
      <c r="AE24" s="108" t="s">
        <v>204</v>
      </c>
      <c r="AF24" s="108" t="s">
        <v>204</v>
      </c>
      <c r="AG24" s="108" t="s">
        <v>204</v>
      </c>
      <c r="AH24" s="108" t="s">
        <v>204</v>
      </c>
      <c r="AI24" s="108" t="s">
        <v>204</v>
      </c>
      <c r="AJ24" s="108" t="s">
        <v>204</v>
      </c>
      <c r="AK24" s="108" t="s">
        <v>204</v>
      </c>
      <c r="AL24" s="108" t="s">
        <v>204</v>
      </c>
      <c r="AM24" s="108" t="s">
        <v>204</v>
      </c>
      <c r="AN24" s="108" t="s">
        <v>205</v>
      </c>
      <c r="AO24" s="108" t="s">
        <v>204</v>
      </c>
      <c r="AP24" s="108" t="s">
        <v>204</v>
      </c>
      <c r="AQ24" s="108" t="s">
        <v>204</v>
      </c>
      <c r="AR24" s="108" t="s">
        <v>205</v>
      </c>
      <c r="AS24" s="108" t="s">
        <v>204</v>
      </c>
      <c r="AT24" s="108" t="s">
        <v>204</v>
      </c>
      <c r="AU24" s="108" t="s">
        <v>204</v>
      </c>
      <c r="AV24" s="108" t="s">
        <v>204</v>
      </c>
      <c r="AW24" s="108" t="s">
        <v>204</v>
      </c>
      <c r="AX24" s="108" t="s">
        <v>204</v>
      </c>
      <c r="AY24" s="108" t="s">
        <v>204</v>
      </c>
      <c r="AZ24" s="108" t="s">
        <v>204</v>
      </c>
      <c r="BA24" s="108" t="s">
        <v>205</v>
      </c>
      <c r="BB24" s="108" t="s">
        <v>204</v>
      </c>
      <c r="BC24" s="108" t="s">
        <v>204</v>
      </c>
      <c r="BD24" s="108" t="s">
        <v>204</v>
      </c>
      <c r="BE24" s="108" t="s">
        <v>204</v>
      </c>
      <c r="BF24" s="108" t="s">
        <v>204</v>
      </c>
      <c r="BG24" s="108" t="s">
        <v>204</v>
      </c>
      <c r="BH24" s="108" t="s">
        <v>204</v>
      </c>
      <c r="BI24" s="108" t="s">
        <v>204</v>
      </c>
      <c r="BJ24" s="108" t="s">
        <v>204</v>
      </c>
      <c r="BK24" s="108" t="s">
        <v>204</v>
      </c>
      <c r="BL24" s="108" t="s">
        <v>204</v>
      </c>
      <c r="BM24" s="108" t="s">
        <v>204</v>
      </c>
      <c r="BN24" s="108" t="s">
        <v>204</v>
      </c>
      <c r="BO24" s="108" t="s">
        <v>205</v>
      </c>
      <c r="BP24" s="108" t="s">
        <v>205</v>
      </c>
      <c r="BQ24" s="108" t="s">
        <v>204</v>
      </c>
      <c r="BR24" s="108" t="s">
        <v>204</v>
      </c>
      <c r="BS24" s="108" t="s">
        <v>205</v>
      </c>
      <c r="BT24" s="108" t="s">
        <v>205</v>
      </c>
      <c r="BU24" s="108" t="s">
        <v>205</v>
      </c>
      <c r="BV24" s="108" t="s">
        <v>204</v>
      </c>
      <c r="BW24" s="108" t="s">
        <v>205</v>
      </c>
      <c r="BX24" s="108" t="s">
        <v>204</v>
      </c>
      <c r="BY24" s="108" t="s">
        <v>204</v>
      </c>
      <c r="BZ24" s="108" t="s">
        <v>204</v>
      </c>
      <c r="CA24" s="108" t="s">
        <v>204</v>
      </c>
      <c r="CB24" s="108" t="s">
        <v>204</v>
      </c>
      <c r="CC24" s="108" t="s">
        <v>204</v>
      </c>
      <c r="CD24" s="108" t="s">
        <v>204</v>
      </c>
      <c r="CE24" s="108" t="s">
        <v>204</v>
      </c>
      <c r="CF24" s="108" t="s">
        <v>205</v>
      </c>
      <c r="CG24" s="108" t="s">
        <v>204</v>
      </c>
      <c r="CH24" s="108" t="s">
        <v>204</v>
      </c>
      <c r="CI24" s="108" t="s">
        <v>204</v>
      </c>
      <c r="CJ24" s="107"/>
      <c r="CK24" s="162"/>
    </row>
    <row r="25">
      <c r="A25" s="163" t="s">
        <v>220</v>
      </c>
      <c r="C25" s="108" t="s">
        <v>204</v>
      </c>
      <c r="D25" s="108" t="s">
        <v>204</v>
      </c>
      <c r="E25" s="108" t="s">
        <v>204</v>
      </c>
      <c r="F25" s="108" t="s">
        <v>205</v>
      </c>
      <c r="G25" s="108" t="s">
        <v>204</v>
      </c>
      <c r="H25" s="108" t="s">
        <v>204</v>
      </c>
      <c r="I25" s="108" t="s">
        <v>205</v>
      </c>
      <c r="J25" s="108" t="s">
        <v>205</v>
      </c>
      <c r="K25" s="108" t="s">
        <v>205</v>
      </c>
      <c r="L25" s="108" t="s">
        <v>205</v>
      </c>
      <c r="M25" s="108" t="s">
        <v>205</v>
      </c>
      <c r="N25" s="108" t="s">
        <v>204</v>
      </c>
      <c r="O25" s="108" t="s">
        <v>204</v>
      </c>
      <c r="P25" s="108" t="s">
        <v>205</v>
      </c>
      <c r="Q25" s="108" t="s">
        <v>205</v>
      </c>
      <c r="R25" s="108" t="s">
        <v>204</v>
      </c>
      <c r="S25" s="108" t="s">
        <v>205</v>
      </c>
      <c r="T25" s="108" t="s">
        <v>204</v>
      </c>
      <c r="U25" s="108" t="s">
        <v>205</v>
      </c>
      <c r="V25" s="108" t="s">
        <v>204</v>
      </c>
      <c r="W25" s="108" t="s">
        <v>205</v>
      </c>
      <c r="X25" s="108" t="s">
        <v>205</v>
      </c>
      <c r="Y25" s="108" t="s">
        <v>204</v>
      </c>
      <c r="Z25" s="108" t="s">
        <v>204</v>
      </c>
      <c r="AA25" s="108" t="s">
        <v>204</v>
      </c>
      <c r="AB25" s="108" t="s">
        <v>205</v>
      </c>
      <c r="AC25" s="108" t="s">
        <v>204</v>
      </c>
      <c r="AD25" s="108" t="s">
        <v>204</v>
      </c>
      <c r="AE25" s="108" t="s">
        <v>204</v>
      </c>
      <c r="AF25" s="108" t="s">
        <v>204</v>
      </c>
      <c r="AG25" s="108" t="s">
        <v>204</v>
      </c>
      <c r="AH25" s="108" t="s">
        <v>204</v>
      </c>
      <c r="AI25" s="108" t="s">
        <v>204</v>
      </c>
      <c r="AJ25" s="108" t="s">
        <v>204</v>
      </c>
      <c r="AK25" s="108" t="s">
        <v>204</v>
      </c>
      <c r="AL25" s="108" t="s">
        <v>204</v>
      </c>
      <c r="AM25" s="108" t="s">
        <v>204</v>
      </c>
      <c r="AN25" s="108" t="s">
        <v>204</v>
      </c>
      <c r="AO25" s="108" t="s">
        <v>204</v>
      </c>
      <c r="AP25" s="108" t="s">
        <v>204</v>
      </c>
      <c r="AQ25" s="108" t="s">
        <v>204</v>
      </c>
      <c r="AR25" s="108" t="s">
        <v>204</v>
      </c>
      <c r="AS25" s="108" t="s">
        <v>204</v>
      </c>
      <c r="AT25" s="108" t="s">
        <v>205</v>
      </c>
      <c r="AU25" s="108" t="s">
        <v>205</v>
      </c>
      <c r="AV25" s="108" t="s">
        <v>204</v>
      </c>
      <c r="AW25" s="108" t="s">
        <v>204</v>
      </c>
      <c r="AX25" s="108" t="s">
        <v>204</v>
      </c>
      <c r="AY25" s="108" t="s">
        <v>204</v>
      </c>
      <c r="AZ25" s="108" t="s">
        <v>205</v>
      </c>
      <c r="BA25" s="108" t="s">
        <v>204</v>
      </c>
      <c r="BB25" s="108" t="s">
        <v>204</v>
      </c>
      <c r="BC25" s="108" t="s">
        <v>204</v>
      </c>
      <c r="BD25" s="108" t="s">
        <v>204</v>
      </c>
      <c r="BE25" s="108" t="s">
        <v>204</v>
      </c>
      <c r="BF25" s="108" t="s">
        <v>204</v>
      </c>
      <c r="BG25" s="108" t="s">
        <v>205</v>
      </c>
      <c r="BH25" s="108" t="s">
        <v>204</v>
      </c>
      <c r="BI25" s="108" t="s">
        <v>204</v>
      </c>
      <c r="BJ25" s="108" t="s">
        <v>204</v>
      </c>
      <c r="BK25" s="108" t="s">
        <v>204</v>
      </c>
      <c r="BL25" s="108" t="s">
        <v>205</v>
      </c>
      <c r="BM25" s="108" t="s">
        <v>204</v>
      </c>
      <c r="BN25" s="108" t="s">
        <v>204</v>
      </c>
      <c r="BO25" s="108" t="s">
        <v>205</v>
      </c>
      <c r="BP25" s="108" t="s">
        <v>204</v>
      </c>
      <c r="BQ25" s="108" t="s">
        <v>205</v>
      </c>
      <c r="BR25" s="108" t="s">
        <v>204</v>
      </c>
      <c r="BS25" s="108" t="s">
        <v>205</v>
      </c>
      <c r="BT25" s="108" t="s">
        <v>205</v>
      </c>
      <c r="BU25" s="108" t="s">
        <v>204</v>
      </c>
      <c r="BV25" s="108" t="s">
        <v>204</v>
      </c>
      <c r="BW25" s="108" t="s">
        <v>204</v>
      </c>
      <c r="BX25" s="108" t="s">
        <v>204</v>
      </c>
      <c r="BY25" s="108" t="s">
        <v>205</v>
      </c>
      <c r="BZ25" s="108" t="s">
        <v>205</v>
      </c>
      <c r="CA25" s="108" t="s">
        <v>205</v>
      </c>
      <c r="CB25" s="108" t="s">
        <v>205</v>
      </c>
      <c r="CC25" s="108" t="s">
        <v>204</v>
      </c>
      <c r="CD25" s="108" t="s">
        <v>205</v>
      </c>
      <c r="CE25" s="108" t="s">
        <v>204</v>
      </c>
      <c r="CF25" s="108" t="s">
        <v>204</v>
      </c>
      <c r="CG25" s="108" t="s">
        <v>204</v>
      </c>
      <c r="CH25" s="108" t="s">
        <v>205</v>
      </c>
      <c r="CI25" s="108" t="s">
        <v>204</v>
      </c>
      <c r="CJ25" s="107"/>
      <c r="CK25" s="162"/>
    </row>
    <row r="26">
      <c r="A26" s="163" t="s">
        <v>221</v>
      </c>
      <c r="C26" s="108" t="s">
        <v>204</v>
      </c>
      <c r="D26" s="108" t="s">
        <v>204</v>
      </c>
      <c r="E26" s="108" t="s">
        <v>204</v>
      </c>
      <c r="F26" s="108" t="s">
        <v>204</v>
      </c>
      <c r="G26" s="108" t="s">
        <v>204</v>
      </c>
      <c r="H26" s="108" t="s">
        <v>204</v>
      </c>
      <c r="I26" s="108" t="s">
        <v>204</v>
      </c>
      <c r="J26" s="108" t="s">
        <v>204</v>
      </c>
      <c r="K26" s="108" t="s">
        <v>204</v>
      </c>
      <c r="L26" s="108" t="s">
        <v>204</v>
      </c>
      <c r="M26" s="108" t="s">
        <v>204</v>
      </c>
      <c r="N26" s="108" t="s">
        <v>204</v>
      </c>
      <c r="O26" s="108" t="s">
        <v>204</v>
      </c>
      <c r="P26" s="108" t="s">
        <v>204</v>
      </c>
      <c r="Q26" s="108" t="s">
        <v>204</v>
      </c>
      <c r="R26" s="108" t="s">
        <v>204</v>
      </c>
      <c r="S26" s="108" t="s">
        <v>204</v>
      </c>
      <c r="T26" s="108" t="s">
        <v>204</v>
      </c>
      <c r="U26" s="108" t="s">
        <v>204</v>
      </c>
      <c r="V26" s="108" t="s">
        <v>204</v>
      </c>
      <c r="W26" s="108" t="s">
        <v>204</v>
      </c>
      <c r="X26" s="108" t="s">
        <v>204</v>
      </c>
      <c r="Y26" s="108" t="s">
        <v>204</v>
      </c>
      <c r="Z26" s="108" t="s">
        <v>205</v>
      </c>
      <c r="AA26" s="108" t="s">
        <v>205</v>
      </c>
      <c r="AB26" s="108" t="s">
        <v>205</v>
      </c>
      <c r="AC26" s="108" t="s">
        <v>205</v>
      </c>
      <c r="AD26" s="108" t="s">
        <v>204</v>
      </c>
      <c r="AE26" s="108" t="s">
        <v>205</v>
      </c>
      <c r="AF26" s="108" t="s">
        <v>205</v>
      </c>
      <c r="AG26" s="108" t="s">
        <v>205</v>
      </c>
      <c r="AH26" s="108" t="s">
        <v>204</v>
      </c>
      <c r="AI26" s="108" t="s">
        <v>204</v>
      </c>
      <c r="AJ26" s="108" t="s">
        <v>204</v>
      </c>
      <c r="AK26" s="108" t="s">
        <v>204</v>
      </c>
      <c r="AL26" s="108" t="s">
        <v>204</v>
      </c>
      <c r="AM26" s="108" t="s">
        <v>204</v>
      </c>
      <c r="AN26" s="108" t="s">
        <v>204</v>
      </c>
      <c r="AO26" s="108" t="s">
        <v>205</v>
      </c>
      <c r="AP26" s="108" t="s">
        <v>204</v>
      </c>
      <c r="AQ26" s="108" t="s">
        <v>204</v>
      </c>
      <c r="AR26" s="108" t="s">
        <v>205</v>
      </c>
      <c r="AS26" s="108" t="s">
        <v>204</v>
      </c>
      <c r="AT26" s="108" t="s">
        <v>204</v>
      </c>
      <c r="AU26" s="108" t="s">
        <v>204</v>
      </c>
      <c r="AV26" s="108" t="s">
        <v>204</v>
      </c>
      <c r="AW26" s="108" t="s">
        <v>204</v>
      </c>
      <c r="AX26" s="108" t="s">
        <v>204</v>
      </c>
      <c r="AY26" s="108" t="s">
        <v>204</v>
      </c>
      <c r="AZ26" s="108" t="s">
        <v>204</v>
      </c>
      <c r="BA26" s="108" t="s">
        <v>204</v>
      </c>
      <c r="BB26" s="108" t="s">
        <v>204</v>
      </c>
      <c r="BC26" s="108" t="s">
        <v>204</v>
      </c>
      <c r="BD26" s="108" t="s">
        <v>204</v>
      </c>
      <c r="BE26" s="108" t="s">
        <v>204</v>
      </c>
      <c r="BF26" s="108" t="s">
        <v>204</v>
      </c>
      <c r="BG26" s="108" t="s">
        <v>204</v>
      </c>
      <c r="BH26" s="108" t="s">
        <v>204</v>
      </c>
      <c r="BI26" s="108" t="s">
        <v>204</v>
      </c>
      <c r="BJ26" s="108" t="s">
        <v>204</v>
      </c>
      <c r="BK26" s="108" t="s">
        <v>204</v>
      </c>
      <c r="BL26" s="108" t="s">
        <v>204</v>
      </c>
      <c r="BM26" s="108" t="s">
        <v>204</v>
      </c>
      <c r="BN26" s="108" t="s">
        <v>204</v>
      </c>
      <c r="BO26" s="108" t="s">
        <v>204</v>
      </c>
      <c r="BP26" s="108" t="s">
        <v>204</v>
      </c>
      <c r="BQ26" s="108" t="s">
        <v>204</v>
      </c>
      <c r="BR26" s="108" t="s">
        <v>204</v>
      </c>
      <c r="BS26" s="108" t="s">
        <v>204</v>
      </c>
      <c r="BT26" s="108" t="s">
        <v>204</v>
      </c>
      <c r="BU26" s="108" t="s">
        <v>204</v>
      </c>
      <c r="BV26" s="108" t="s">
        <v>204</v>
      </c>
      <c r="BW26" s="108" t="s">
        <v>204</v>
      </c>
      <c r="BX26" s="108" t="s">
        <v>204</v>
      </c>
      <c r="BY26" s="108" t="s">
        <v>204</v>
      </c>
      <c r="BZ26" s="108" t="s">
        <v>204</v>
      </c>
      <c r="CA26" s="108" t="s">
        <v>204</v>
      </c>
      <c r="CB26" s="108" t="s">
        <v>204</v>
      </c>
      <c r="CC26" s="108" t="s">
        <v>204</v>
      </c>
      <c r="CD26" s="108" t="s">
        <v>204</v>
      </c>
      <c r="CE26" s="108" t="s">
        <v>204</v>
      </c>
      <c r="CF26" s="108" t="s">
        <v>204</v>
      </c>
      <c r="CG26" s="108" t="s">
        <v>204</v>
      </c>
      <c r="CH26" s="108" t="s">
        <v>204</v>
      </c>
      <c r="CI26" s="108" t="s">
        <v>204</v>
      </c>
      <c r="CJ26" s="107"/>
      <c r="CK26" s="162"/>
    </row>
    <row r="27">
      <c r="A27" s="163" t="s">
        <v>222</v>
      </c>
      <c r="C27" s="108" t="s">
        <v>204</v>
      </c>
      <c r="D27" s="108" t="s">
        <v>204</v>
      </c>
      <c r="E27" s="108" t="s">
        <v>204</v>
      </c>
      <c r="F27" s="108" t="s">
        <v>205</v>
      </c>
      <c r="G27" s="108" t="s">
        <v>204</v>
      </c>
      <c r="H27" s="108" t="s">
        <v>204</v>
      </c>
      <c r="I27" s="108" t="s">
        <v>205</v>
      </c>
      <c r="J27" s="108" t="s">
        <v>204</v>
      </c>
      <c r="K27" s="108" t="s">
        <v>205</v>
      </c>
      <c r="L27" s="108" t="s">
        <v>204</v>
      </c>
      <c r="M27" s="108" t="s">
        <v>204</v>
      </c>
      <c r="N27" s="108" t="s">
        <v>204</v>
      </c>
      <c r="O27" s="108" t="s">
        <v>204</v>
      </c>
      <c r="P27" s="108" t="s">
        <v>205</v>
      </c>
      <c r="Q27" s="108" t="s">
        <v>205</v>
      </c>
      <c r="R27" s="108" t="s">
        <v>204</v>
      </c>
      <c r="S27" s="108" t="s">
        <v>205</v>
      </c>
      <c r="T27" s="108" t="s">
        <v>204</v>
      </c>
      <c r="U27" s="108" t="s">
        <v>204</v>
      </c>
      <c r="V27" s="108" t="s">
        <v>204</v>
      </c>
      <c r="W27" s="108" t="s">
        <v>204</v>
      </c>
      <c r="X27" s="108" t="s">
        <v>205</v>
      </c>
      <c r="Y27" s="108" t="s">
        <v>204</v>
      </c>
      <c r="Z27" s="108" t="s">
        <v>204</v>
      </c>
      <c r="AA27" s="108" t="s">
        <v>205</v>
      </c>
      <c r="AB27" s="108" t="s">
        <v>204</v>
      </c>
      <c r="AC27" s="108" t="s">
        <v>205</v>
      </c>
      <c r="AD27" s="108" t="s">
        <v>204</v>
      </c>
      <c r="AE27" s="108" t="s">
        <v>205</v>
      </c>
      <c r="AF27" s="108" t="s">
        <v>205</v>
      </c>
      <c r="AG27" s="108" t="s">
        <v>204</v>
      </c>
      <c r="AH27" s="108" t="s">
        <v>204</v>
      </c>
      <c r="AI27" s="108" t="s">
        <v>205</v>
      </c>
      <c r="AJ27" s="108" t="s">
        <v>205</v>
      </c>
      <c r="AK27" s="108" t="s">
        <v>205</v>
      </c>
      <c r="AL27" s="108" t="s">
        <v>205</v>
      </c>
      <c r="AM27" s="108" t="s">
        <v>205</v>
      </c>
      <c r="AN27" s="108" t="s">
        <v>204</v>
      </c>
      <c r="AO27" s="108" t="s">
        <v>205</v>
      </c>
      <c r="AP27" s="108" t="s">
        <v>205</v>
      </c>
      <c r="AQ27" s="108" t="s">
        <v>205</v>
      </c>
      <c r="AR27" s="108" t="s">
        <v>205</v>
      </c>
      <c r="AS27" s="108" t="s">
        <v>204</v>
      </c>
      <c r="AT27" s="108" t="s">
        <v>205</v>
      </c>
      <c r="AU27" s="108" t="s">
        <v>205</v>
      </c>
      <c r="AV27" s="108" t="s">
        <v>205</v>
      </c>
      <c r="AW27" s="108" t="s">
        <v>205</v>
      </c>
      <c r="AX27" s="108" t="s">
        <v>204</v>
      </c>
      <c r="AY27" s="108" t="s">
        <v>205</v>
      </c>
      <c r="AZ27" s="108" t="s">
        <v>205</v>
      </c>
      <c r="BA27" s="108" t="s">
        <v>205</v>
      </c>
      <c r="BB27" s="108" t="s">
        <v>204</v>
      </c>
      <c r="BC27" s="108" t="s">
        <v>204</v>
      </c>
      <c r="BD27" s="108" t="s">
        <v>205</v>
      </c>
      <c r="BE27" s="108" t="s">
        <v>205</v>
      </c>
      <c r="BF27" s="108" t="s">
        <v>204</v>
      </c>
      <c r="BG27" s="108" t="s">
        <v>204</v>
      </c>
      <c r="BH27" s="108" t="s">
        <v>205</v>
      </c>
      <c r="BI27" s="108" t="s">
        <v>205</v>
      </c>
      <c r="BJ27" s="108" t="s">
        <v>204</v>
      </c>
      <c r="BK27" s="108" t="s">
        <v>205</v>
      </c>
      <c r="BL27" s="108" t="s">
        <v>205</v>
      </c>
      <c r="BM27" s="108" t="s">
        <v>204</v>
      </c>
      <c r="BN27" s="108" t="s">
        <v>205</v>
      </c>
      <c r="BO27" s="108" t="s">
        <v>205</v>
      </c>
      <c r="BP27" s="108" t="s">
        <v>205</v>
      </c>
      <c r="BQ27" s="108" t="s">
        <v>205</v>
      </c>
      <c r="BR27" s="108" t="s">
        <v>205</v>
      </c>
      <c r="BS27" s="108" t="s">
        <v>205</v>
      </c>
      <c r="BT27" s="108" t="s">
        <v>205</v>
      </c>
      <c r="BU27" s="108" t="s">
        <v>205</v>
      </c>
      <c r="BV27" s="108" t="s">
        <v>204</v>
      </c>
      <c r="BW27" s="108" t="s">
        <v>205</v>
      </c>
      <c r="BX27" s="108" t="s">
        <v>204</v>
      </c>
      <c r="BY27" s="108" t="s">
        <v>204</v>
      </c>
      <c r="BZ27" s="108" t="s">
        <v>204</v>
      </c>
      <c r="CA27" s="108" t="s">
        <v>205</v>
      </c>
      <c r="CB27" s="108" t="s">
        <v>205</v>
      </c>
      <c r="CC27" s="108" t="s">
        <v>204</v>
      </c>
      <c r="CD27" s="108" t="s">
        <v>205</v>
      </c>
      <c r="CE27" s="108" t="s">
        <v>204</v>
      </c>
      <c r="CF27" s="108" t="s">
        <v>205</v>
      </c>
      <c r="CG27" s="108" t="s">
        <v>204</v>
      </c>
      <c r="CH27" s="108" t="s">
        <v>205</v>
      </c>
      <c r="CI27" s="108" t="s">
        <v>204</v>
      </c>
      <c r="CJ27" s="107"/>
      <c r="CK27" s="162"/>
    </row>
    <row r="28">
      <c r="A28" s="163" t="s">
        <v>223</v>
      </c>
      <c r="C28" s="108" t="s">
        <v>204</v>
      </c>
      <c r="D28" s="108" t="s">
        <v>204</v>
      </c>
      <c r="E28" s="108" t="s">
        <v>204</v>
      </c>
      <c r="F28" s="108" t="s">
        <v>204</v>
      </c>
      <c r="G28" s="108" t="s">
        <v>204</v>
      </c>
      <c r="H28" s="108" t="s">
        <v>204</v>
      </c>
      <c r="I28" s="108" t="s">
        <v>204</v>
      </c>
      <c r="J28" s="108" t="s">
        <v>204</v>
      </c>
      <c r="K28" s="108" t="s">
        <v>204</v>
      </c>
      <c r="L28" s="108" t="s">
        <v>204</v>
      </c>
      <c r="M28" s="108" t="s">
        <v>204</v>
      </c>
      <c r="N28" s="108" t="s">
        <v>204</v>
      </c>
      <c r="O28" s="108" t="s">
        <v>204</v>
      </c>
      <c r="P28" s="108" t="s">
        <v>204</v>
      </c>
      <c r="Q28" s="108" t="s">
        <v>204</v>
      </c>
      <c r="R28" s="108" t="s">
        <v>204</v>
      </c>
      <c r="S28" s="108" t="s">
        <v>204</v>
      </c>
      <c r="T28" s="108" t="s">
        <v>204</v>
      </c>
      <c r="U28" s="108" t="s">
        <v>204</v>
      </c>
      <c r="V28" s="108" t="s">
        <v>204</v>
      </c>
      <c r="W28" s="108" t="s">
        <v>204</v>
      </c>
      <c r="X28" s="108" t="s">
        <v>204</v>
      </c>
      <c r="Y28" s="108" t="s">
        <v>204</v>
      </c>
      <c r="Z28" s="108" t="s">
        <v>204</v>
      </c>
      <c r="AA28" s="108" t="s">
        <v>204</v>
      </c>
      <c r="AB28" s="108" t="s">
        <v>204</v>
      </c>
      <c r="AC28" s="108" t="s">
        <v>204</v>
      </c>
      <c r="AD28" s="108" t="s">
        <v>204</v>
      </c>
      <c r="AE28" s="108" t="s">
        <v>204</v>
      </c>
      <c r="AF28" s="108" t="s">
        <v>204</v>
      </c>
      <c r="AG28" s="108" t="s">
        <v>204</v>
      </c>
      <c r="AH28" s="108" t="s">
        <v>204</v>
      </c>
      <c r="AI28" s="108" t="s">
        <v>204</v>
      </c>
      <c r="AJ28" s="108" t="s">
        <v>204</v>
      </c>
      <c r="AK28" s="108" t="s">
        <v>204</v>
      </c>
      <c r="AL28" s="108" t="s">
        <v>204</v>
      </c>
      <c r="AM28" s="108" t="s">
        <v>204</v>
      </c>
      <c r="AN28" s="108" t="s">
        <v>204</v>
      </c>
      <c r="AO28" s="108" t="s">
        <v>204</v>
      </c>
      <c r="AP28" s="108" t="s">
        <v>204</v>
      </c>
      <c r="AQ28" s="108" t="s">
        <v>204</v>
      </c>
      <c r="AR28" s="108" t="s">
        <v>204</v>
      </c>
      <c r="AS28" s="108" t="s">
        <v>204</v>
      </c>
      <c r="AT28" s="108" t="s">
        <v>205</v>
      </c>
      <c r="AU28" s="108" t="s">
        <v>204</v>
      </c>
      <c r="AV28" s="108" t="s">
        <v>204</v>
      </c>
      <c r="AW28" s="108" t="s">
        <v>204</v>
      </c>
      <c r="AX28" s="108" t="s">
        <v>204</v>
      </c>
      <c r="AY28" s="108" t="s">
        <v>204</v>
      </c>
      <c r="AZ28" s="108" t="s">
        <v>204</v>
      </c>
      <c r="BA28" s="108" t="s">
        <v>204</v>
      </c>
      <c r="BB28" s="108" t="s">
        <v>204</v>
      </c>
      <c r="BC28" s="108" t="s">
        <v>204</v>
      </c>
      <c r="BD28" s="108" t="s">
        <v>204</v>
      </c>
      <c r="BE28" s="108" t="s">
        <v>204</v>
      </c>
      <c r="BF28" s="108" t="s">
        <v>204</v>
      </c>
      <c r="BG28" s="108" t="s">
        <v>204</v>
      </c>
      <c r="BH28" s="108" t="s">
        <v>204</v>
      </c>
      <c r="BI28" s="108" t="s">
        <v>204</v>
      </c>
      <c r="BJ28" s="108" t="s">
        <v>205</v>
      </c>
      <c r="BK28" s="108" t="s">
        <v>204</v>
      </c>
      <c r="BL28" s="108" t="s">
        <v>204</v>
      </c>
      <c r="BM28" s="108" t="s">
        <v>204</v>
      </c>
      <c r="BN28" s="108" t="s">
        <v>204</v>
      </c>
      <c r="BO28" s="108" t="s">
        <v>204</v>
      </c>
      <c r="BP28" s="108" t="s">
        <v>204</v>
      </c>
      <c r="BQ28" s="108" t="s">
        <v>204</v>
      </c>
      <c r="BR28" s="108" t="s">
        <v>204</v>
      </c>
      <c r="BS28" s="108" t="s">
        <v>204</v>
      </c>
      <c r="BT28" s="108" t="s">
        <v>204</v>
      </c>
      <c r="BU28" s="108" t="s">
        <v>204</v>
      </c>
      <c r="BV28" s="108" t="s">
        <v>204</v>
      </c>
      <c r="BW28" s="108" t="s">
        <v>204</v>
      </c>
      <c r="BX28" s="108" t="s">
        <v>204</v>
      </c>
      <c r="BY28" s="108" t="s">
        <v>204</v>
      </c>
      <c r="BZ28" s="108" t="s">
        <v>204</v>
      </c>
      <c r="CA28" s="108" t="s">
        <v>204</v>
      </c>
      <c r="CB28" s="108" t="s">
        <v>204</v>
      </c>
      <c r="CC28" s="108" t="s">
        <v>204</v>
      </c>
      <c r="CD28" s="108" t="s">
        <v>204</v>
      </c>
      <c r="CE28" s="108" t="s">
        <v>204</v>
      </c>
      <c r="CF28" s="108" t="s">
        <v>204</v>
      </c>
      <c r="CG28" s="108" t="s">
        <v>204</v>
      </c>
      <c r="CH28" s="108" t="s">
        <v>204</v>
      </c>
      <c r="CI28" s="108" t="s">
        <v>204</v>
      </c>
      <c r="CJ28" s="107"/>
      <c r="CK28" s="162"/>
    </row>
    <row r="29">
      <c r="A29" s="163" t="s">
        <v>224</v>
      </c>
      <c r="C29" s="108" t="s">
        <v>204</v>
      </c>
      <c r="D29" s="108" t="s">
        <v>204</v>
      </c>
      <c r="E29" s="108" t="s">
        <v>204</v>
      </c>
      <c r="F29" s="108" t="s">
        <v>204</v>
      </c>
      <c r="G29" s="108" t="s">
        <v>204</v>
      </c>
      <c r="H29" s="108" t="s">
        <v>204</v>
      </c>
      <c r="I29" s="108" t="s">
        <v>204</v>
      </c>
      <c r="J29" s="108" t="s">
        <v>204</v>
      </c>
      <c r="K29" s="108" t="s">
        <v>204</v>
      </c>
      <c r="L29" s="108" t="s">
        <v>204</v>
      </c>
      <c r="M29" s="108" t="s">
        <v>204</v>
      </c>
      <c r="N29" s="108" t="s">
        <v>204</v>
      </c>
      <c r="O29" s="108" t="s">
        <v>204</v>
      </c>
      <c r="P29" s="108" t="s">
        <v>204</v>
      </c>
      <c r="Q29" s="108" t="s">
        <v>204</v>
      </c>
      <c r="R29" s="108" t="s">
        <v>204</v>
      </c>
      <c r="S29" s="108" t="s">
        <v>204</v>
      </c>
      <c r="T29" s="108" t="s">
        <v>204</v>
      </c>
      <c r="U29" s="108" t="s">
        <v>204</v>
      </c>
      <c r="V29" s="108" t="s">
        <v>204</v>
      </c>
      <c r="W29" s="108" t="s">
        <v>204</v>
      </c>
      <c r="X29" s="108" t="s">
        <v>204</v>
      </c>
      <c r="Y29" s="108" t="s">
        <v>204</v>
      </c>
      <c r="Z29" s="108" t="s">
        <v>204</v>
      </c>
      <c r="AA29" s="108" t="s">
        <v>204</v>
      </c>
      <c r="AB29" s="108" t="s">
        <v>204</v>
      </c>
      <c r="AC29" s="108" t="s">
        <v>204</v>
      </c>
      <c r="AD29" s="108" t="s">
        <v>205</v>
      </c>
      <c r="AE29" s="108" t="s">
        <v>204</v>
      </c>
      <c r="AF29" s="108" t="s">
        <v>204</v>
      </c>
      <c r="AG29" s="108" t="s">
        <v>204</v>
      </c>
      <c r="AH29" s="108" t="s">
        <v>204</v>
      </c>
      <c r="AI29" s="108" t="s">
        <v>204</v>
      </c>
      <c r="AJ29" s="108" t="s">
        <v>204</v>
      </c>
      <c r="AK29" s="108" t="s">
        <v>204</v>
      </c>
      <c r="AL29" s="108" t="s">
        <v>204</v>
      </c>
      <c r="AM29" s="108" t="s">
        <v>204</v>
      </c>
      <c r="AN29" s="108" t="s">
        <v>204</v>
      </c>
      <c r="AO29" s="108" t="s">
        <v>204</v>
      </c>
      <c r="AP29" s="108" t="s">
        <v>204</v>
      </c>
      <c r="AQ29" s="108" t="s">
        <v>204</v>
      </c>
      <c r="AR29" s="108" t="s">
        <v>204</v>
      </c>
      <c r="AS29" s="108" t="s">
        <v>204</v>
      </c>
      <c r="AT29" s="108" t="s">
        <v>204</v>
      </c>
      <c r="AU29" s="108" t="s">
        <v>204</v>
      </c>
      <c r="AV29" s="108" t="s">
        <v>204</v>
      </c>
      <c r="AW29" s="108" t="s">
        <v>204</v>
      </c>
      <c r="AX29" s="108" t="s">
        <v>204</v>
      </c>
      <c r="AY29" s="108" t="s">
        <v>204</v>
      </c>
      <c r="AZ29" s="108" t="s">
        <v>204</v>
      </c>
      <c r="BA29" s="108" t="s">
        <v>204</v>
      </c>
      <c r="BB29" s="108" t="s">
        <v>204</v>
      </c>
      <c r="BC29" s="108" t="s">
        <v>204</v>
      </c>
      <c r="BD29" s="108" t="s">
        <v>204</v>
      </c>
      <c r="BE29" s="108" t="s">
        <v>204</v>
      </c>
      <c r="BF29" s="108" t="s">
        <v>204</v>
      </c>
      <c r="BG29" s="108" t="s">
        <v>204</v>
      </c>
      <c r="BH29" s="108" t="s">
        <v>204</v>
      </c>
      <c r="BI29" s="108" t="s">
        <v>204</v>
      </c>
      <c r="BJ29" s="108" t="s">
        <v>204</v>
      </c>
      <c r="BK29" s="108" t="s">
        <v>204</v>
      </c>
      <c r="BL29" s="108" t="s">
        <v>204</v>
      </c>
      <c r="BM29" s="108" t="s">
        <v>204</v>
      </c>
      <c r="BN29" s="108" t="s">
        <v>204</v>
      </c>
      <c r="BO29" s="108" t="s">
        <v>204</v>
      </c>
      <c r="BP29" s="108" t="s">
        <v>204</v>
      </c>
      <c r="BQ29" s="108" t="s">
        <v>204</v>
      </c>
      <c r="BR29" s="108" t="s">
        <v>204</v>
      </c>
      <c r="BS29" s="108" t="s">
        <v>204</v>
      </c>
      <c r="BT29" s="108" t="s">
        <v>204</v>
      </c>
      <c r="BU29" s="108" t="s">
        <v>204</v>
      </c>
      <c r="BV29" s="108" t="s">
        <v>204</v>
      </c>
      <c r="BW29" s="108" t="s">
        <v>205</v>
      </c>
      <c r="BX29" s="108" t="s">
        <v>204</v>
      </c>
      <c r="BY29" s="108" t="s">
        <v>204</v>
      </c>
      <c r="BZ29" s="108" t="s">
        <v>204</v>
      </c>
      <c r="CA29" s="108" t="s">
        <v>204</v>
      </c>
      <c r="CB29" s="108" t="s">
        <v>204</v>
      </c>
      <c r="CC29" s="108" t="s">
        <v>204</v>
      </c>
      <c r="CD29" s="108" t="s">
        <v>204</v>
      </c>
      <c r="CE29" s="108" t="s">
        <v>204</v>
      </c>
      <c r="CF29" s="108" t="s">
        <v>204</v>
      </c>
      <c r="CG29" s="108" t="s">
        <v>204</v>
      </c>
      <c r="CH29" s="108" t="s">
        <v>204</v>
      </c>
      <c r="CI29" s="108" t="s">
        <v>204</v>
      </c>
      <c r="CJ29" s="107"/>
      <c r="CK29" s="162"/>
    </row>
    <row r="30">
      <c r="A30" s="163" t="s">
        <v>225</v>
      </c>
      <c r="C30" s="108" t="s">
        <v>204</v>
      </c>
      <c r="D30" s="108" t="s">
        <v>204</v>
      </c>
      <c r="E30" s="108" t="s">
        <v>204</v>
      </c>
      <c r="F30" s="108" t="s">
        <v>204</v>
      </c>
      <c r="G30" s="108" t="s">
        <v>204</v>
      </c>
      <c r="H30" s="108" t="s">
        <v>204</v>
      </c>
      <c r="I30" s="108" t="s">
        <v>204</v>
      </c>
      <c r="J30" s="108" t="s">
        <v>204</v>
      </c>
      <c r="K30" s="108" t="s">
        <v>204</v>
      </c>
      <c r="L30" s="108" t="s">
        <v>204</v>
      </c>
      <c r="M30" s="108" t="s">
        <v>205</v>
      </c>
      <c r="N30" s="108" t="s">
        <v>204</v>
      </c>
      <c r="O30" s="108" t="s">
        <v>204</v>
      </c>
      <c r="P30" s="108" t="s">
        <v>204</v>
      </c>
      <c r="Q30" s="108" t="s">
        <v>204</v>
      </c>
      <c r="R30" s="108" t="s">
        <v>204</v>
      </c>
      <c r="S30" s="108" t="s">
        <v>204</v>
      </c>
      <c r="T30" s="108" t="s">
        <v>204</v>
      </c>
      <c r="U30" s="108" t="s">
        <v>204</v>
      </c>
      <c r="V30" s="108" t="s">
        <v>204</v>
      </c>
      <c r="W30" s="108" t="s">
        <v>204</v>
      </c>
      <c r="X30" s="108" t="s">
        <v>204</v>
      </c>
      <c r="Y30" s="108" t="s">
        <v>204</v>
      </c>
      <c r="Z30" s="108" t="s">
        <v>204</v>
      </c>
      <c r="AA30" s="108" t="s">
        <v>204</v>
      </c>
      <c r="AB30" s="108" t="s">
        <v>204</v>
      </c>
      <c r="AC30" s="108" t="s">
        <v>204</v>
      </c>
      <c r="AD30" s="108" t="s">
        <v>204</v>
      </c>
      <c r="AE30" s="108" t="s">
        <v>205</v>
      </c>
      <c r="AF30" s="108" t="s">
        <v>204</v>
      </c>
      <c r="AG30" s="108" t="s">
        <v>204</v>
      </c>
      <c r="AH30" s="108" t="s">
        <v>204</v>
      </c>
      <c r="AI30" s="108" t="s">
        <v>204</v>
      </c>
      <c r="AJ30" s="108" t="s">
        <v>204</v>
      </c>
      <c r="AK30" s="108" t="s">
        <v>204</v>
      </c>
      <c r="AL30" s="108" t="s">
        <v>204</v>
      </c>
      <c r="AM30" s="108" t="s">
        <v>204</v>
      </c>
      <c r="AN30" s="108" t="s">
        <v>204</v>
      </c>
      <c r="AO30" s="108" t="s">
        <v>204</v>
      </c>
      <c r="AP30" s="108" t="s">
        <v>204</v>
      </c>
      <c r="AQ30" s="108" t="s">
        <v>204</v>
      </c>
      <c r="AR30" s="108" t="s">
        <v>204</v>
      </c>
      <c r="AS30" s="108" t="s">
        <v>204</v>
      </c>
      <c r="AT30" s="108" t="s">
        <v>204</v>
      </c>
      <c r="AU30" s="108" t="s">
        <v>204</v>
      </c>
      <c r="AV30" s="108" t="s">
        <v>204</v>
      </c>
      <c r="AW30" s="108" t="s">
        <v>204</v>
      </c>
      <c r="AX30" s="108" t="s">
        <v>204</v>
      </c>
      <c r="AY30" s="108" t="s">
        <v>204</v>
      </c>
      <c r="AZ30" s="108" t="s">
        <v>204</v>
      </c>
      <c r="BA30" s="108" t="s">
        <v>204</v>
      </c>
      <c r="BB30" s="108" t="s">
        <v>204</v>
      </c>
      <c r="BC30" s="108" t="s">
        <v>204</v>
      </c>
      <c r="BD30" s="108" t="s">
        <v>204</v>
      </c>
      <c r="BE30" s="108" t="s">
        <v>204</v>
      </c>
      <c r="BF30" s="108" t="s">
        <v>204</v>
      </c>
      <c r="BG30" s="108" t="s">
        <v>204</v>
      </c>
      <c r="BH30" s="108" t="s">
        <v>204</v>
      </c>
      <c r="BI30" s="108" t="s">
        <v>204</v>
      </c>
      <c r="BJ30" s="108" t="s">
        <v>204</v>
      </c>
      <c r="BK30" s="108" t="s">
        <v>204</v>
      </c>
      <c r="BL30" s="108" t="s">
        <v>204</v>
      </c>
      <c r="BM30" s="108" t="s">
        <v>204</v>
      </c>
      <c r="BN30" s="108" t="s">
        <v>205</v>
      </c>
      <c r="BO30" s="108" t="s">
        <v>204</v>
      </c>
      <c r="BP30" s="108" t="s">
        <v>204</v>
      </c>
      <c r="BQ30" s="108" t="s">
        <v>204</v>
      </c>
      <c r="BR30" s="108" t="s">
        <v>204</v>
      </c>
      <c r="BS30" s="108" t="s">
        <v>204</v>
      </c>
      <c r="BT30" s="108" t="s">
        <v>204</v>
      </c>
      <c r="BU30" s="108" t="s">
        <v>204</v>
      </c>
      <c r="BV30" s="108" t="s">
        <v>204</v>
      </c>
      <c r="BW30" s="108" t="s">
        <v>204</v>
      </c>
      <c r="BX30" s="108" t="s">
        <v>204</v>
      </c>
      <c r="BY30" s="108" t="s">
        <v>204</v>
      </c>
      <c r="BZ30" s="108" t="s">
        <v>204</v>
      </c>
      <c r="CA30" s="108" t="s">
        <v>204</v>
      </c>
      <c r="CB30" s="108" t="s">
        <v>204</v>
      </c>
      <c r="CC30" s="108" t="s">
        <v>204</v>
      </c>
      <c r="CD30" s="108" t="s">
        <v>204</v>
      </c>
      <c r="CE30" s="108" t="s">
        <v>204</v>
      </c>
      <c r="CF30" s="108" t="s">
        <v>204</v>
      </c>
      <c r="CG30" s="108" t="s">
        <v>204</v>
      </c>
      <c r="CH30" s="108" t="s">
        <v>204</v>
      </c>
      <c r="CI30" s="108" t="s">
        <v>204</v>
      </c>
      <c r="CJ30" s="107"/>
      <c r="CK30" s="162"/>
    </row>
    <row r="31">
      <c r="A31" s="163" t="s">
        <v>226</v>
      </c>
      <c r="C31" s="108" t="s">
        <v>204</v>
      </c>
      <c r="D31" s="108" t="s">
        <v>204</v>
      </c>
      <c r="E31" s="108" t="s">
        <v>204</v>
      </c>
      <c r="F31" s="108" t="s">
        <v>205</v>
      </c>
      <c r="G31" s="108" t="s">
        <v>205</v>
      </c>
      <c r="H31" s="108" t="s">
        <v>204</v>
      </c>
      <c r="I31" s="108" t="s">
        <v>204</v>
      </c>
      <c r="J31" s="108" t="s">
        <v>205</v>
      </c>
      <c r="K31" s="108" t="s">
        <v>205</v>
      </c>
      <c r="L31" s="108" t="s">
        <v>204</v>
      </c>
      <c r="M31" s="108" t="s">
        <v>204</v>
      </c>
      <c r="N31" s="108" t="s">
        <v>205</v>
      </c>
      <c r="O31" s="108" t="s">
        <v>204</v>
      </c>
      <c r="P31" s="108" t="s">
        <v>204</v>
      </c>
      <c r="Q31" s="108" t="s">
        <v>204</v>
      </c>
      <c r="R31" s="108" t="s">
        <v>205</v>
      </c>
      <c r="S31" s="108" t="s">
        <v>205</v>
      </c>
      <c r="T31" s="108" t="s">
        <v>205</v>
      </c>
      <c r="U31" s="108" t="s">
        <v>205</v>
      </c>
      <c r="V31" s="108" t="s">
        <v>205</v>
      </c>
      <c r="W31" s="108" t="s">
        <v>204</v>
      </c>
      <c r="X31" s="108" t="s">
        <v>205</v>
      </c>
      <c r="Y31" s="108" t="s">
        <v>205</v>
      </c>
      <c r="Z31" s="108" t="s">
        <v>204</v>
      </c>
      <c r="AA31" s="108" t="s">
        <v>204</v>
      </c>
      <c r="AB31" s="108" t="s">
        <v>204</v>
      </c>
      <c r="AC31" s="108" t="s">
        <v>204</v>
      </c>
      <c r="AD31" s="108" t="s">
        <v>205</v>
      </c>
      <c r="AE31" s="108" t="s">
        <v>205</v>
      </c>
      <c r="AF31" s="108" t="s">
        <v>204</v>
      </c>
      <c r="AG31" s="108" t="s">
        <v>205</v>
      </c>
      <c r="AH31" s="108" t="s">
        <v>204</v>
      </c>
      <c r="AI31" s="108" t="s">
        <v>204</v>
      </c>
      <c r="AJ31" s="108" t="s">
        <v>205</v>
      </c>
      <c r="AK31" s="108" t="s">
        <v>205</v>
      </c>
      <c r="AL31" s="108" t="s">
        <v>205</v>
      </c>
      <c r="AM31" s="108" t="s">
        <v>205</v>
      </c>
      <c r="AN31" s="108" t="s">
        <v>205</v>
      </c>
      <c r="AO31" s="108" t="s">
        <v>204</v>
      </c>
      <c r="AP31" s="108" t="s">
        <v>204</v>
      </c>
      <c r="AQ31" s="108" t="s">
        <v>204</v>
      </c>
      <c r="AR31" s="108" t="s">
        <v>204</v>
      </c>
      <c r="AS31" s="108" t="s">
        <v>205</v>
      </c>
      <c r="AT31" s="108" t="s">
        <v>205</v>
      </c>
      <c r="AU31" s="108" t="s">
        <v>205</v>
      </c>
      <c r="AV31" s="108" t="s">
        <v>204</v>
      </c>
      <c r="AW31" s="108" t="s">
        <v>205</v>
      </c>
      <c r="AX31" s="108" t="s">
        <v>204</v>
      </c>
      <c r="AY31" s="108" t="s">
        <v>204</v>
      </c>
      <c r="AZ31" s="108" t="s">
        <v>204</v>
      </c>
      <c r="BA31" s="108" t="s">
        <v>205</v>
      </c>
      <c r="BB31" s="108" t="s">
        <v>205</v>
      </c>
      <c r="BC31" s="108" t="s">
        <v>205</v>
      </c>
      <c r="BD31" s="108" t="s">
        <v>205</v>
      </c>
      <c r="BE31" s="108" t="s">
        <v>205</v>
      </c>
      <c r="BF31" s="108" t="s">
        <v>205</v>
      </c>
      <c r="BG31" s="108" t="s">
        <v>205</v>
      </c>
      <c r="BH31" s="108" t="s">
        <v>204</v>
      </c>
      <c r="BI31" s="108" t="s">
        <v>204</v>
      </c>
      <c r="BJ31" s="108" t="s">
        <v>205</v>
      </c>
      <c r="BK31" s="108" t="s">
        <v>204</v>
      </c>
      <c r="BL31" s="108" t="s">
        <v>205</v>
      </c>
      <c r="BM31" s="108" t="s">
        <v>205</v>
      </c>
      <c r="BN31" s="108" t="s">
        <v>205</v>
      </c>
      <c r="BO31" s="108" t="s">
        <v>205</v>
      </c>
      <c r="BP31" s="108" t="s">
        <v>205</v>
      </c>
      <c r="BQ31" s="108" t="s">
        <v>205</v>
      </c>
      <c r="BR31" s="108" t="s">
        <v>205</v>
      </c>
      <c r="BS31" s="108" t="s">
        <v>205</v>
      </c>
      <c r="BT31" s="108" t="s">
        <v>205</v>
      </c>
      <c r="BU31" s="108" t="s">
        <v>205</v>
      </c>
      <c r="BV31" s="108" t="s">
        <v>205</v>
      </c>
      <c r="BW31" s="108" t="s">
        <v>205</v>
      </c>
      <c r="BX31" s="108" t="s">
        <v>204</v>
      </c>
      <c r="BY31" s="108" t="s">
        <v>204</v>
      </c>
      <c r="BZ31" s="108" t="s">
        <v>204</v>
      </c>
      <c r="CA31" s="108" t="s">
        <v>205</v>
      </c>
      <c r="CB31" s="108" t="s">
        <v>205</v>
      </c>
      <c r="CC31" s="108" t="s">
        <v>204</v>
      </c>
      <c r="CD31" s="108" t="s">
        <v>205</v>
      </c>
      <c r="CE31" s="108" t="s">
        <v>204</v>
      </c>
      <c r="CF31" s="108" t="s">
        <v>205</v>
      </c>
      <c r="CG31" s="108" t="s">
        <v>204</v>
      </c>
      <c r="CH31" s="108" t="s">
        <v>205</v>
      </c>
      <c r="CI31" s="108" t="s">
        <v>205</v>
      </c>
      <c r="CJ31" s="107"/>
      <c r="CK31" s="162"/>
    </row>
    <row r="32">
      <c r="A32" s="163" t="s">
        <v>227</v>
      </c>
      <c r="C32" s="108" t="s">
        <v>204</v>
      </c>
      <c r="D32" s="108" t="s">
        <v>204</v>
      </c>
      <c r="E32" s="108" t="s">
        <v>204</v>
      </c>
      <c r="F32" s="108" t="s">
        <v>204</v>
      </c>
      <c r="G32" s="108" t="s">
        <v>204</v>
      </c>
      <c r="H32" s="108" t="s">
        <v>204</v>
      </c>
      <c r="I32" s="108" t="s">
        <v>204</v>
      </c>
      <c r="J32" s="108" t="s">
        <v>204</v>
      </c>
      <c r="K32" s="108" t="s">
        <v>204</v>
      </c>
      <c r="L32" s="108" t="s">
        <v>204</v>
      </c>
      <c r="M32" s="108" t="s">
        <v>204</v>
      </c>
      <c r="N32" s="108" t="s">
        <v>204</v>
      </c>
      <c r="O32" s="108" t="s">
        <v>204</v>
      </c>
      <c r="P32" s="108" t="s">
        <v>204</v>
      </c>
      <c r="Q32" s="108" t="s">
        <v>204</v>
      </c>
      <c r="R32" s="108" t="s">
        <v>204</v>
      </c>
      <c r="S32" s="108" t="s">
        <v>204</v>
      </c>
      <c r="T32" s="108" t="s">
        <v>205</v>
      </c>
      <c r="U32" s="108" t="s">
        <v>204</v>
      </c>
      <c r="V32" s="108" t="s">
        <v>204</v>
      </c>
      <c r="W32" s="108" t="s">
        <v>204</v>
      </c>
      <c r="X32" s="108" t="s">
        <v>204</v>
      </c>
      <c r="Y32" s="108" t="s">
        <v>204</v>
      </c>
      <c r="Z32" s="108" t="s">
        <v>204</v>
      </c>
      <c r="AA32" s="108" t="s">
        <v>204</v>
      </c>
      <c r="AB32" s="108" t="s">
        <v>204</v>
      </c>
      <c r="AC32" s="108" t="s">
        <v>204</v>
      </c>
      <c r="AD32" s="108" t="s">
        <v>204</v>
      </c>
      <c r="AE32" s="108" t="s">
        <v>204</v>
      </c>
      <c r="AF32" s="108" t="s">
        <v>204</v>
      </c>
      <c r="AG32" s="108" t="s">
        <v>204</v>
      </c>
      <c r="AH32" s="108" t="s">
        <v>204</v>
      </c>
      <c r="AI32" s="108" t="s">
        <v>204</v>
      </c>
      <c r="AJ32" s="108" t="s">
        <v>204</v>
      </c>
      <c r="AK32" s="108" t="s">
        <v>204</v>
      </c>
      <c r="AL32" s="108" t="s">
        <v>204</v>
      </c>
      <c r="AM32" s="108" t="s">
        <v>204</v>
      </c>
      <c r="AN32" s="108" t="s">
        <v>204</v>
      </c>
      <c r="AO32" s="108" t="s">
        <v>204</v>
      </c>
      <c r="AP32" s="108" t="s">
        <v>204</v>
      </c>
      <c r="AQ32" s="108" t="s">
        <v>204</v>
      </c>
      <c r="AR32" s="108" t="s">
        <v>204</v>
      </c>
      <c r="AS32" s="108" t="s">
        <v>204</v>
      </c>
      <c r="AT32" s="108" t="s">
        <v>205</v>
      </c>
      <c r="AU32" s="108" t="s">
        <v>205</v>
      </c>
      <c r="AV32" s="108" t="s">
        <v>204</v>
      </c>
      <c r="AW32" s="108" t="s">
        <v>204</v>
      </c>
      <c r="AX32" s="108" t="s">
        <v>204</v>
      </c>
      <c r="AY32" s="108" t="s">
        <v>204</v>
      </c>
      <c r="AZ32" s="108" t="s">
        <v>205</v>
      </c>
      <c r="BA32" s="108" t="s">
        <v>205</v>
      </c>
      <c r="BB32" s="108" t="s">
        <v>205</v>
      </c>
      <c r="BC32" s="108" t="s">
        <v>205</v>
      </c>
      <c r="BD32" s="108" t="s">
        <v>204</v>
      </c>
      <c r="BE32" s="108" t="s">
        <v>205</v>
      </c>
      <c r="BF32" s="108" t="s">
        <v>204</v>
      </c>
      <c r="BG32" s="108" t="s">
        <v>204</v>
      </c>
      <c r="BH32" s="108" t="s">
        <v>204</v>
      </c>
      <c r="BI32" s="108" t="s">
        <v>204</v>
      </c>
      <c r="BJ32" s="108" t="s">
        <v>204</v>
      </c>
      <c r="BK32" s="108" t="s">
        <v>204</v>
      </c>
      <c r="BL32" s="108" t="s">
        <v>204</v>
      </c>
      <c r="BM32" s="108" t="s">
        <v>205</v>
      </c>
      <c r="BN32" s="108" t="s">
        <v>205</v>
      </c>
      <c r="BO32" s="108" t="s">
        <v>204</v>
      </c>
      <c r="BP32" s="108" t="s">
        <v>204</v>
      </c>
      <c r="BQ32" s="108" t="s">
        <v>204</v>
      </c>
      <c r="BR32" s="108" t="s">
        <v>204</v>
      </c>
      <c r="BS32" s="108" t="s">
        <v>204</v>
      </c>
      <c r="BT32" s="108" t="s">
        <v>204</v>
      </c>
      <c r="BU32" s="108" t="s">
        <v>204</v>
      </c>
      <c r="BV32" s="108" t="s">
        <v>204</v>
      </c>
      <c r="BW32" s="108" t="s">
        <v>205</v>
      </c>
      <c r="BX32" s="108" t="s">
        <v>204</v>
      </c>
      <c r="BY32" s="108" t="s">
        <v>205</v>
      </c>
      <c r="BZ32" s="108" t="s">
        <v>205</v>
      </c>
      <c r="CA32" s="108" t="s">
        <v>205</v>
      </c>
      <c r="CB32" s="108" t="s">
        <v>204</v>
      </c>
      <c r="CC32" s="108" t="s">
        <v>204</v>
      </c>
      <c r="CD32" s="108" t="s">
        <v>205</v>
      </c>
      <c r="CE32" s="108" t="s">
        <v>204</v>
      </c>
      <c r="CF32" s="108" t="s">
        <v>204</v>
      </c>
      <c r="CG32" s="108" t="s">
        <v>204</v>
      </c>
      <c r="CH32" s="108" t="s">
        <v>204</v>
      </c>
      <c r="CI32" s="108" t="s">
        <v>204</v>
      </c>
      <c r="CJ32" s="107"/>
      <c r="CK32" s="162"/>
    </row>
    <row r="33">
      <c r="A33" s="163" t="s">
        <v>228</v>
      </c>
      <c r="C33" s="108" t="s">
        <v>204</v>
      </c>
      <c r="D33" s="108" t="s">
        <v>204</v>
      </c>
      <c r="E33" s="108" t="s">
        <v>204</v>
      </c>
      <c r="F33" s="108" t="s">
        <v>204</v>
      </c>
      <c r="G33" s="108" t="s">
        <v>204</v>
      </c>
      <c r="H33" s="108" t="s">
        <v>204</v>
      </c>
      <c r="I33" s="108" t="s">
        <v>204</v>
      </c>
      <c r="J33" s="108" t="s">
        <v>204</v>
      </c>
      <c r="K33" s="108" t="s">
        <v>204</v>
      </c>
      <c r="L33" s="108" t="s">
        <v>204</v>
      </c>
      <c r="M33" s="108" t="s">
        <v>204</v>
      </c>
      <c r="N33" s="108" t="s">
        <v>204</v>
      </c>
      <c r="O33" s="108" t="s">
        <v>204</v>
      </c>
      <c r="P33" s="108" t="s">
        <v>204</v>
      </c>
      <c r="Q33" s="108" t="s">
        <v>204</v>
      </c>
      <c r="R33" s="108" t="s">
        <v>204</v>
      </c>
      <c r="S33" s="108" t="s">
        <v>204</v>
      </c>
      <c r="T33" s="108" t="s">
        <v>204</v>
      </c>
      <c r="U33" s="108" t="s">
        <v>204</v>
      </c>
      <c r="V33" s="108" t="s">
        <v>204</v>
      </c>
      <c r="W33" s="108" t="s">
        <v>204</v>
      </c>
      <c r="X33" s="108" t="s">
        <v>205</v>
      </c>
      <c r="Y33" s="108" t="s">
        <v>204</v>
      </c>
      <c r="Z33" s="108" t="s">
        <v>204</v>
      </c>
      <c r="AA33" s="108" t="s">
        <v>204</v>
      </c>
      <c r="AB33" s="108" t="s">
        <v>204</v>
      </c>
      <c r="AC33" s="108" t="s">
        <v>204</v>
      </c>
      <c r="AD33" s="108" t="s">
        <v>204</v>
      </c>
      <c r="AE33" s="108" t="s">
        <v>204</v>
      </c>
      <c r="AF33" s="108" t="s">
        <v>204</v>
      </c>
      <c r="AG33" s="108" t="s">
        <v>204</v>
      </c>
      <c r="AH33" s="108" t="s">
        <v>204</v>
      </c>
      <c r="AI33" s="108" t="s">
        <v>204</v>
      </c>
      <c r="AJ33" s="108" t="s">
        <v>204</v>
      </c>
      <c r="AK33" s="108" t="s">
        <v>204</v>
      </c>
      <c r="AL33" s="108" t="s">
        <v>204</v>
      </c>
      <c r="AM33" s="108" t="s">
        <v>204</v>
      </c>
      <c r="AN33" s="108" t="s">
        <v>204</v>
      </c>
      <c r="AO33" s="108" t="s">
        <v>204</v>
      </c>
      <c r="AP33" s="108" t="s">
        <v>204</v>
      </c>
      <c r="AQ33" s="108" t="s">
        <v>204</v>
      </c>
      <c r="AR33" s="108" t="s">
        <v>204</v>
      </c>
      <c r="AS33" s="108" t="s">
        <v>204</v>
      </c>
      <c r="AT33" s="108" t="s">
        <v>204</v>
      </c>
      <c r="AU33" s="108" t="s">
        <v>204</v>
      </c>
      <c r="AV33" s="108" t="s">
        <v>204</v>
      </c>
      <c r="AW33" s="108" t="s">
        <v>204</v>
      </c>
      <c r="AX33" s="108" t="s">
        <v>204</v>
      </c>
      <c r="AY33" s="108" t="s">
        <v>204</v>
      </c>
      <c r="AZ33" s="108" t="s">
        <v>204</v>
      </c>
      <c r="BA33" s="108" t="s">
        <v>204</v>
      </c>
      <c r="BB33" s="108" t="s">
        <v>204</v>
      </c>
      <c r="BC33" s="108" t="s">
        <v>204</v>
      </c>
      <c r="BD33" s="108" t="s">
        <v>204</v>
      </c>
      <c r="BE33" s="108" t="s">
        <v>204</v>
      </c>
      <c r="BF33" s="108" t="s">
        <v>204</v>
      </c>
      <c r="BG33" s="108" t="s">
        <v>204</v>
      </c>
      <c r="BH33" s="108" t="s">
        <v>204</v>
      </c>
      <c r="BI33" s="108" t="s">
        <v>204</v>
      </c>
      <c r="BJ33" s="108" t="s">
        <v>204</v>
      </c>
      <c r="BK33" s="108" t="s">
        <v>204</v>
      </c>
      <c r="BL33" s="108" t="s">
        <v>204</v>
      </c>
      <c r="BM33" s="108" t="s">
        <v>204</v>
      </c>
      <c r="BN33" s="108" t="s">
        <v>204</v>
      </c>
      <c r="BO33" s="108" t="s">
        <v>204</v>
      </c>
      <c r="BP33" s="108" t="s">
        <v>204</v>
      </c>
      <c r="BQ33" s="108" t="s">
        <v>204</v>
      </c>
      <c r="BR33" s="108" t="s">
        <v>204</v>
      </c>
      <c r="BS33" s="108" t="s">
        <v>204</v>
      </c>
      <c r="BT33" s="108" t="s">
        <v>204</v>
      </c>
      <c r="BU33" s="108" t="s">
        <v>204</v>
      </c>
      <c r="BV33" s="108" t="s">
        <v>204</v>
      </c>
      <c r="BW33" s="108" t="s">
        <v>204</v>
      </c>
      <c r="BX33" s="108" t="s">
        <v>204</v>
      </c>
      <c r="BY33" s="108" t="s">
        <v>204</v>
      </c>
      <c r="BZ33" s="108" t="s">
        <v>204</v>
      </c>
      <c r="CA33" s="108" t="s">
        <v>204</v>
      </c>
      <c r="CB33" s="108" t="s">
        <v>204</v>
      </c>
      <c r="CC33" s="108" t="s">
        <v>204</v>
      </c>
      <c r="CD33" s="108" t="s">
        <v>204</v>
      </c>
      <c r="CE33" s="108" t="s">
        <v>204</v>
      </c>
      <c r="CF33" s="108" t="s">
        <v>204</v>
      </c>
      <c r="CG33" s="108" t="s">
        <v>204</v>
      </c>
      <c r="CH33" s="108" t="s">
        <v>204</v>
      </c>
      <c r="CI33" s="108" t="s">
        <v>204</v>
      </c>
      <c r="CJ33" s="107"/>
      <c r="CK33" s="162"/>
    </row>
    <row r="34">
      <c r="A34" s="163" t="s">
        <v>229</v>
      </c>
      <c r="C34" s="108" t="s">
        <v>204</v>
      </c>
      <c r="D34" s="108" t="s">
        <v>204</v>
      </c>
      <c r="E34" s="108" t="s">
        <v>205</v>
      </c>
      <c r="F34" s="108" t="s">
        <v>204</v>
      </c>
      <c r="G34" s="108" t="s">
        <v>204</v>
      </c>
      <c r="H34" s="108" t="s">
        <v>204</v>
      </c>
      <c r="I34" s="108" t="s">
        <v>204</v>
      </c>
      <c r="J34" s="108" t="s">
        <v>204</v>
      </c>
      <c r="K34" s="108" t="s">
        <v>204</v>
      </c>
      <c r="L34" s="108" t="s">
        <v>204</v>
      </c>
      <c r="M34" s="108" t="s">
        <v>204</v>
      </c>
      <c r="N34" s="108" t="s">
        <v>204</v>
      </c>
      <c r="O34" s="108" t="s">
        <v>204</v>
      </c>
      <c r="P34" s="108" t="s">
        <v>204</v>
      </c>
      <c r="Q34" s="108" t="s">
        <v>205</v>
      </c>
      <c r="R34" s="108" t="s">
        <v>204</v>
      </c>
      <c r="S34" s="108" t="s">
        <v>204</v>
      </c>
      <c r="T34" s="108" t="s">
        <v>204</v>
      </c>
      <c r="U34" s="108" t="s">
        <v>204</v>
      </c>
      <c r="V34" s="108" t="s">
        <v>204</v>
      </c>
      <c r="W34" s="108" t="s">
        <v>204</v>
      </c>
      <c r="X34" s="108" t="s">
        <v>205</v>
      </c>
      <c r="Y34" s="108" t="s">
        <v>204</v>
      </c>
      <c r="Z34" s="108" t="s">
        <v>204</v>
      </c>
      <c r="AA34" s="108" t="s">
        <v>204</v>
      </c>
      <c r="AB34" s="108" t="s">
        <v>204</v>
      </c>
      <c r="AC34" s="108" t="s">
        <v>204</v>
      </c>
      <c r="AD34" s="108" t="s">
        <v>204</v>
      </c>
      <c r="AE34" s="108" t="s">
        <v>204</v>
      </c>
      <c r="AF34" s="108" t="s">
        <v>204</v>
      </c>
      <c r="AG34" s="108" t="s">
        <v>204</v>
      </c>
      <c r="AH34" s="108" t="s">
        <v>204</v>
      </c>
      <c r="AI34" s="108" t="s">
        <v>204</v>
      </c>
      <c r="AJ34" s="108" t="s">
        <v>204</v>
      </c>
      <c r="AK34" s="108" t="s">
        <v>204</v>
      </c>
      <c r="AL34" s="108" t="s">
        <v>204</v>
      </c>
      <c r="AM34" s="108" t="s">
        <v>204</v>
      </c>
      <c r="AN34" s="108" t="s">
        <v>204</v>
      </c>
      <c r="AO34" s="108" t="s">
        <v>205</v>
      </c>
      <c r="AP34" s="108" t="s">
        <v>204</v>
      </c>
      <c r="AQ34" s="108" t="s">
        <v>204</v>
      </c>
      <c r="AR34" s="108" t="s">
        <v>204</v>
      </c>
      <c r="AS34" s="108" t="s">
        <v>204</v>
      </c>
      <c r="AT34" s="108" t="s">
        <v>204</v>
      </c>
      <c r="AU34" s="108" t="s">
        <v>204</v>
      </c>
      <c r="AV34" s="108" t="s">
        <v>204</v>
      </c>
      <c r="AW34" s="108" t="s">
        <v>204</v>
      </c>
      <c r="AX34" s="108" t="s">
        <v>204</v>
      </c>
      <c r="AY34" s="108" t="s">
        <v>204</v>
      </c>
      <c r="AZ34" s="108" t="s">
        <v>205</v>
      </c>
      <c r="BA34" s="108" t="s">
        <v>204</v>
      </c>
      <c r="BB34" s="108" t="s">
        <v>204</v>
      </c>
      <c r="BC34" s="108" t="s">
        <v>204</v>
      </c>
      <c r="BD34" s="108" t="s">
        <v>204</v>
      </c>
      <c r="BE34" s="108" t="s">
        <v>204</v>
      </c>
      <c r="BF34" s="108" t="s">
        <v>204</v>
      </c>
      <c r="BG34" s="108" t="s">
        <v>204</v>
      </c>
      <c r="BH34" s="108" t="s">
        <v>205</v>
      </c>
      <c r="BI34" s="108" t="s">
        <v>204</v>
      </c>
      <c r="BJ34" s="108" t="s">
        <v>204</v>
      </c>
      <c r="BK34" s="108" t="s">
        <v>204</v>
      </c>
      <c r="BL34" s="108" t="s">
        <v>205</v>
      </c>
      <c r="BM34" s="108" t="s">
        <v>204</v>
      </c>
      <c r="BN34" s="108" t="s">
        <v>204</v>
      </c>
      <c r="BO34" s="108" t="s">
        <v>204</v>
      </c>
      <c r="BP34" s="108" t="s">
        <v>204</v>
      </c>
      <c r="BQ34" s="108" t="s">
        <v>204</v>
      </c>
      <c r="BR34" s="108" t="s">
        <v>204</v>
      </c>
      <c r="BS34" s="108" t="s">
        <v>204</v>
      </c>
      <c r="BT34" s="108" t="s">
        <v>204</v>
      </c>
      <c r="BU34" s="108" t="s">
        <v>204</v>
      </c>
      <c r="BV34" s="108" t="s">
        <v>204</v>
      </c>
      <c r="BW34" s="108" t="s">
        <v>204</v>
      </c>
      <c r="BX34" s="108" t="s">
        <v>204</v>
      </c>
      <c r="BY34" s="108" t="s">
        <v>204</v>
      </c>
      <c r="BZ34" s="108" t="s">
        <v>204</v>
      </c>
      <c r="CA34" s="108" t="s">
        <v>204</v>
      </c>
      <c r="CB34" s="108" t="s">
        <v>205</v>
      </c>
      <c r="CC34" s="108" t="s">
        <v>204</v>
      </c>
      <c r="CD34" s="108" t="s">
        <v>205</v>
      </c>
      <c r="CE34" s="108" t="s">
        <v>204</v>
      </c>
      <c r="CF34" s="108" t="s">
        <v>205</v>
      </c>
      <c r="CG34" s="108" t="s">
        <v>204</v>
      </c>
      <c r="CH34" s="108" t="s">
        <v>204</v>
      </c>
      <c r="CI34" s="108" t="s">
        <v>204</v>
      </c>
      <c r="CJ34" s="107"/>
      <c r="CK34" s="162"/>
    </row>
    <row r="35">
      <c r="A35" s="164"/>
      <c r="B35" s="64"/>
      <c r="C35" s="116">
        <f t="shared" ref="C35:CK35" si="4">COUNTIF(C24:C34,"SIM")</f>
        <v>11</v>
      </c>
      <c r="D35" s="116">
        <f t="shared" si="4"/>
        <v>11</v>
      </c>
      <c r="E35" s="116">
        <f t="shared" si="4"/>
        <v>10</v>
      </c>
      <c r="F35" s="116">
        <f t="shared" si="4"/>
        <v>8</v>
      </c>
      <c r="G35" s="116">
        <f t="shared" si="4"/>
        <v>10</v>
      </c>
      <c r="H35" s="116">
        <f t="shared" si="4"/>
        <v>11</v>
      </c>
      <c r="I35" s="116">
        <f t="shared" si="4"/>
        <v>9</v>
      </c>
      <c r="J35" s="116">
        <f t="shared" si="4"/>
        <v>9</v>
      </c>
      <c r="K35" s="116">
        <f t="shared" si="4"/>
        <v>8</v>
      </c>
      <c r="L35" s="116">
        <f t="shared" si="4"/>
        <v>10</v>
      </c>
      <c r="M35" s="116">
        <f t="shared" si="4"/>
        <v>8</v>
      </c>
      <c r="N35" s="116">
        <f t="shared" si="4"/>
        <v>10</v>
      </c>
      <c r="O35" s="116">
        <f t="shared" si="4"/>
        <v>11</v>
      </c>
      <c r="P35" s="116">
        <f t="shared" si="4"/>
        <v>9</v>
      </c>
      <c r="Q35" s="116">
        <f t="shared" si="4"/>
        <v>8</v>
      </c>
      <c r="R35" s="116">
        <f t="shared" si="4"/>
        <v>10</v>
      </c>
      <c r="S35" s="116">
        <f t="shared" si="4"/>
        <v>8</v>
      </c>
      <c r="T35" s="116">
        <f t="shared" si="4"/>
        <v>9</v>
      </c>
      <c r="U35" s="116">
        <f t="shared" si="4"/>
        <v>9</v>
      </c>
      <c r="V35" s="116">
        <f t="shared" si="4"/>
        <v>10</v>
      </c>
      <c r="W35" s="116">
        <f t="shared" si="4"/>
        <v>10</v>
      </c>
      <c r="X35" s="116">
        <f t="shared" si="4"/>
        <v>6</v>
      </c>
      <c r="Y35" s="116">
        <f t="shared" si="4"/>
        <v>10</v>
      </c>
      <c r="Z35" s="116">
        <f t="shared" si="4"/>
        <v>10</v>
      </c>
      <c r="AA35" s="116">
        <f t="shared" si="4"/>
        <v>8</v>
      </c>
      <c r="AB35" s="116">
        <f t="shared" si="4"/>
        <v>9</v>
      </c>
      <c r="AC35" s="116">
        <f t="shared" si="4"/>
        <v>9</v>
      </c>
      <c r="AD35" s="116">
        <f t="shared" si="4"/>
        <v>8</v>
      </c>
      <c r="AE35" s="116">
        <f t="shared" si="4"/>
        <v>7</v>
      </c>
      <c r="AF35" s="116">
        <f t="shared" si="4"/>
        <v>9</v>
      </c>
      <c r="AG35" s="116">
        <f t="shared" si="4"/>
        <v>9</v>
      </c>
      <c r="AH35" s="116">
        <f t="shared" si="4"/>
        <v>11</v>
      </c>
      <c r="AI35" s="116">
        <f t="shared" si="4"/>
        <v>10</v>
      </c>
      <c r="AJ35" s="116">
        <f t="shared" si="4"/>
        <v>9</v>
      </c>
      <c r="AK35" s="116">
        <f t="shared" si="4"/>
        <v>9</v>
      </c>
      <c r="AL35" s="116">
        <f t="shared" si="4"/>
        <v>9</v>
      </c>
      <c r="AM35" s="116">
        <f t="shared" si="4"/>
        <v>9</v>
      </c>
      <c r="AN35" s="116">
        <f t="shared" si="4"/>
        <v>9</v>
      </c>
      <c r="AO35" s="116">
        <f t="shared" si="4"/>
        <v>8</v>
      </c>
      <c r="AP35" s="116">
        <f t="shared" si="4"/>
        <v>10</v>
      </c>
      <c r="AQ35" s="116">
        <f t="shared" si="4"/>
        <v>10</v>
      </c>
      <c r="AR35" s="116">
        <f t="shared" si="4"/>
        <v>8</v>
      </c>
      <c r="AS35" s="116">
        <f t="shared" si="4"/>
        <v>10</v>
      </c>
      <c r="AT35" s="116">
        <f t="shared" si="4"/>
        <v>6</v>
      </c>
      <c r="AU35" s="116">
        <f t="shared" si="4"/>
        <v>7</v>
      </c>
      <c r="AV35" s="116">
        <f t="shared" si="4"/>
        <v>10</v>
      </c>
      <c r="AW35" s="116">
        <f t="shared" si="4"/>
        <v>9</v>
      </c>
      <c r="AX35" s="116">
        <f t="shared" si="4"/>
        <v>11</v>
      </c>
      <c r="AY35" s="116">
        <f t="shared" si="4"/>
        <v>10</v>
      </c>
      <c r="AZ35" s="116">
        <f t="shared" si="4"/>
        <v>7</v>
      </c>
      <c r="BA35" s="116">
        <f t="shared" si="4"/>
        <v>7</v>
      </c>
      <c r="BB35" s="116">
        <f t="shared" si="4"/>
        <v>9</v>
      </c>
      <c r="BC35" s="116">
        <f t="shared" si="4"/>
        <v>9</v>
      </c>
      <c r="BD35" s="116">
        <f t="shared" si="4"/>
        <v>9</v>
      </c>
      <c r="BE35" s="116">
        <f t="shared" si="4"/>
        <v>8</v>
      </c>
      <c r="BF35" s="116">
        <f t="shared" si="4"/>
        <v>10</v>
      </c>
      <c r="BG35" s="116">
        <f t="shared" si="4"/>
        <v>9</v>
      </c>
      <c r="BH35" s="116">
        <f t="shared" si="4"/>
        <v>9</v>
      </c>
      <c r="BI35" s="116">
        <f t="shared" si="4"/>
        <v>10</v>
      </c>
      <c r="BJ35" s="116">
        <f t="shared" si="4"/>
        <v>9</v>
      </c>
      <c r="BK35" s="116">
        <f t="shared" si="4"/>
        <v>10</v>
      </c>
      <c r="BL35" s="116">
        <f t="shared" si="4"/>
        <v>7</v>
      </c>
      <c r="BM35" s="116">
        <f t="shared" si="4"/>
        <v>9</v>
      </c>
      <c r="BN35" s="116">
        <f t="shared" si="4"/>
        <v>7</v>
      </c>
      <c r="BO35" s="116">
        <f t="shared" si="4"/>
        <v>7</v>
      </c>
      <c r="BP35" s="116">
        <f t="shared" si="4"/>
        <v>8</v>
      </c>
      <c r="BQ35" s="116">
        <f t="shared" si="4"/>
        <v>8</v>
      </c>
      <c r="BR35" s="116">
        <f t="shared" si="4"/>
        <v>9</v>
      </c>
      <c r="BS35" s="116">
        <f t="shared" si="4"/>
        <v>7</v>
      </c>
      <c r="BT35" s="116">
        <f t="shared" si="4"/>
        <v>7</v>
      </c>
      <c r="BU35" s="116">
        <f t="shared" si="4"/>
        <v>8</v>
      </c>
      <c r="BV35" s="116">
        <f t="shared" si="4"/>
        <v>10</v>
      </c>
      <c r="BW35" s="116">
        <f t="shared" si="4"/>
        <v>6</v>
      </c>
      <c r="BX35" s="116">
        <f t="shared" si="4"/>
        <v>11</v>
      </c>
      <c r="BY35" s="116">
        <f t="shared" si="4"/>
        <v>9</v>
      </c>
      <c r="BZ35" s="116">
        <f t="shared" si="4"/>
        <v>9</v>
      </c>
      <c r="CA35" s="116">
        <f t="shared" si="4"/>
        <v>7</v>
      </c>
      <c r="CB35" s="116">
        <f t="shared" si="4"/>
        <v>7</v>
      </c>
      <c r="CC35" s="116">
        <f t="shared" si="4"/>
        <v>11</v>
      </c>
      <c r="CD35" s="116">
        <f t="shared" si="4"/>
        <v>6</v>
      </c>
      <c r="CE35" s="116">
        <f t="shared" si="4"/>
        <v>11</v>
      </c>
      <c r="CF35" s="116">
        <f t="shared" si="4"/>
        <v>7</v>
      </c>
      <c r="CG35" s="116">
        <f t="shared" si="4"/>
        <v>11</v>
      </c>
      <c r="CH35" s="116">
        <f t="shared" si="4"/>
        <v>8</v>
      </c>
      <c r="CI35" s="116">
        <f t="shared" si="4"/>
        <v>10</v>
      </c>
      <c r="CJ35" s="116">
        <f t="shared" si="4"/>
        <v>0</v>
      </c>
      <c r="CK35" s="165">
        <f t="shared" si="4"/>
        <v>0</v>
      </c>
    </row>
    <row r="36">
      <c r="A36" s="163" t="s">
        <v>215</v>
      </c>
      <c r="B36" s="166">
        <f>SUMIF(C37:CK37,"&gt;=0",C37:CK37)</f>
        <v>575</v>
      </c>
      <c r="C36" s="116">
        <f t="shared" ref="C36:CK36" si="5">-COUNTIF(C24:C34,"NÃO")</f>
        <v>0</v>
      </c>
      <c r="D36" s="116">
        <f t="shared" si="5"/>
        <v>0</v>
      </c>
      <c r="E36" s="116">
        <f t="shared" si="5"/>
        <v>-1</v>
      </c>
      <c r="F36" s="116">
        <f t="shared" si="5"/>
        <v>-3</v>
      </c>
      <c r="G36" s="116">
        <f t="shared" si="5"/>
        <v>-1</v>
      </c>
      <c r="H36" s="116">
        <f t="shared" si="5"/>
        <v>0</v>
      </c>
      <c r="I36" s="116">
        <f t="shared" si="5"/>
        <v>-2</v>
      </c>
      <c r="J36" s="116">
        <f t="shared" si="5"/>
        <v>-2</v>
      </c>
      <c r="K36" s="116">
        <f t="shared" si="5"/>
        <v>-3</v>
      </c>
      <c r="L36" s="116">
        <f t="shared" si="5"/>
        <v>-1</v>
      </c>
      <c r="M36" s="116">
        <f t="shared" si="5"/>
        <v>-3</v>
      </c>
      <c r="N36" s="116">
        <f t="shared" si="5"/>
        <v>-1</v>
      </c>
      <c r="O36" s="116">
        <f t="shared" si="5"/>
        <v>0</v>
      </c>
      <c r="P36" s="116">
        <f t="shared" si="5"/>
        <v>-2</v>
      </c>
      <c r="Q36" s="116">
        <f t="shared" si="5"/>
        <v>-3</v>
      </c>
      <c r="R36" s="116">
        <f t="shared" si="5"/>
        <v>-1</v>
      </c>
      <c r="S36" s="116">
        <f t="shared" si="5"/>
        <v>-3</v>
      </c>
      <c r="T36" s="116">
        <f t="shared" si="5"/>
        <v>-2</v>
      </c>
      <c r="U36" s="116">
        <f t="shared" si="5"/>
        <v>-2</v>
      </c>
      <c r="V36" s="116">
        <f t="shared" si="5"/>
        <v>-1</v>
      </c>
      <c r="W36" s="116">
        <f t="shared" si="5"/>
        <v>-1</v>
      </c>
      <c r="X36" s="116">
        <f t="shared" si="5"/>
        <v>-5</v>
      </c>
      <c r="Y36" s="116">
        <f t="shared" si="5"/>
        <v>-1</v>
      </c>
      <c r="Z36" s="116">
        <f t="shared" si="5"/>
        <v>-1</v>
      </c>
      <c r="AA36" s="116">
        <f t="shared" si="5"/>
        <v>-3</v>
      </c>
      <c r="AB36" s="116">
        <f t="shared" si="5"/>
        <v>-2</v>
      </c>
      <c r="AC36" s="116">
        <f t="shared" si="5"/>
        <v>-2</v>
      </c>
      <c r="AD36" s="116">
        <f t="shared" si="5"/>
        <v>-3</v>
      </c>
      <c r="AE36" s="116">
        <f t="shared" si="5"/>
        <v>-4</v>
      </c>
      <c r="AF36" s="116">
        <f t="shared" si="5"/>
        <v>-2</v>
      </c>
      <c r="AG36" s="116">
        <f t="shared" si="5"/>
        <v>-2</v>
      </c>
      <c r="AH36" s="116">
        <f t="shared" si="5"/>
        <v>0</v>
      </c>
      <c r="AI36" s="116">
        <f t="shared" si="5"/>
        <v>-1</v>
      </c>
      <c r="AJ36" s="116">
        <f t="shared" si="5"/>
        <v>-2</v>
      </c>
      <c r="AK36" s="116">
        <f t="shared" si="5"/>
        <v>-2</v>
      </c>
      <c r="AL36" s="116">
        <f t="shared" si="5"/>
        <v>-2</v>
      </c>
      <c r="AM36" s="116">
        <f t="shared" si="5"/>
        <v>-2</v>
      </c>
      <c r="AN36" s="116">
        <f t="shared" si="5"/>
        <v>-2</v>
      </c>
      <c r="AO36" s="116">
        <f t="shared" si="5"/>
        <v>-3</v>
      </c>
      <c r="AP36" s="116">
        <f t="shared" si="5"/>
        <v>-1</v>
      </c>
      <c r="AQ36" s="116">
        <f t="shared" si="5"/>
        <v>-1</v>
      </c>
      <c r="AR36" s="116">
        <f t="shared" si="5"/>
        <v>-3</v>
      </c>
      <c r="AS36" s="116">
        <f t="shared" si="5"/>
        <v>-1</v>
      </c>
      <c r="AT36" s="116">
        <f t="shared" si="5"/>
        <v>-5</v>
      </c>
      <c r="AU36" s="116">
        <f t="shared" si="5"/>
        <v>-4</v>
      </c>
      <c r="AV36" s="116">
        <f t="shared" si="5"/>
        <v>-1</v>
      </c>
      <c r="AW36" s="116">
        <f t="shared" si="5"/>
        <v>-2</v>
      </c>
      <c r="AX36" s="116">
        <f t="shared" si="5"/>
        <v>0</v>
      </c>
      <c r="AY36" s="116">
        <f t="shared" si="5"/>
        <v>-1</v>
      </c>
      <c r="AZ36" s="116">
        <f t="shared" si="5"/>
        <v>-4</v>
      </c>
      <c r="BA36" s="116">
        <f t="shared" si="5"/>
        <v>-4</v>
      </c>
      <c r="BB36" s="116">
        <f t="shared" si="5"/>
        <v>-2</v>
      </c>
      <c r="BC36" s="116">
        <f t="shared" si="5"/>
        <v>-2</v>
      </c>
      <c r="BD36" s="116">
        <f t="shared" si="5"/>
        <v>-2</v>
      </c>
      <c r="BE36" s="116">
        <f t="shared" si="5"/>
        <v>-3</v>
      </c>
      <c r="BF36" s="116">
        <f t="shared" si="5"/>
        <v>-1</v>
      </c>
      <c r="BG36" s="116">
        <f t="shared" si="5"/>
        <v>-2</v>
      </c>
      <c r="BH36" s="116">
        <f t="shared" si="5"/>
        <v>-2</v>
      </c>
      <c r="BI36" s="116">
        <f t="shared" si="5"/>
        <v>-1</v>
      </c>
      <c r="BJ36" s="116">
        <f t="shared" si="5"/>
        <v>-2</v>
      </c>
      <c r="BK36" s="116">
        <f t="shared" si="5"/>
        <v>-1</v>
      </c>
      <c r="BL36" s="116">
        <f t="shared" si="5"/>
        <v>-4</v>
      </c>
      <c r="BM36" s="116">
        <f t="shared" si="5"/>
        <v>-2</v>
      </c>
      <c r="BN36" s="116">
        <f t="shared" si="5"/>
        <v>-4</v>
      </c>
      <c r="BO36" s="116">
        <f t="shared" si="5"/>
        <v>-4</v>
      </c>
      <c r="BP36" s="116">
        <f t="shared" si="5"/>
        <v>-3</v>
      </c>
      <c r="BQ36" s="116">
        <f t="shared" si="5"/>
        <v>-3</v>
      </c>
      <c r="BR36" s="116">
        <f t="shared" si="5"/>
        <v>-2</v>
      </c>
      <c r="BS36" s="116">
        <f t="shared" si="5"/>
        <v>-4</v>
      </c>
      <c r="BT36" s="116">
        <f t="shared" si="5"/>
        <v>-4</v>
      </c>
      <c r="BU36" s="116">
        <f t="shared" si="5"/>
        <v>-3</v>
      </c>
      <c r="BV36" s="116">
        <f t="shared" si="5"/>
        <v>-1</v>
      </c>
      <c r="BW36" s="116">
        <f t="shared" si="5"/>
        <v>-5</v>
      </c>
      <c r="BX36" s="116">
        <f t="shared" si="5"/>
        <v>0</v>
      </c>
      <c r="BY36" s="116">
        <f t="shared" si="5"/>
        <v>-2</v>
      </c>
      <c r="BZ36" s="116">
        <f t="shared" si="5"/>
        <v>-2</v>
      </c>
      <c r="CA36" s="116">
        <f t="shared" si="5"/>
        <v>-4</v>
      </c>
      <c r="CB36" s="116">
        <f t="shared" si="5"/>
        <v>-4</v>
      </c>
      <c r="CC36" s="116">
        <f t="shared" si="5"/>
        <v>0</v>
      </c>
      <c r="CD36" s="116">
        <f t="shared" si="5"/>
        <v>-5</v>
      </c>
      <c r="CE36" s="116">
        <f t="shared" si="5"/>
        <v>0</v>
      </c>
      <c r="CF36" s="116">
        <f t="shared" si="5"/>
        <v>-4</v>
      </c>
      <c r="CG36" s="116">
        <f t="shared" si="5"/>
        <v>0</v>
      </c>
      <c r="CH36" s="116">
        <f t="shared" si="5"/>
        <v>-3</v>
      </c>
      <c r="CI36" s="116">
        <f t="shared" si="5"/>
        <v>-1</v>
      </c>
      <c r="CJ36" s="116">
        <f t="shared" si="5"/>
        <v>0</v>
      </c>
      <c r="CK36" s="165">
        <f t="shared" si="5"/>
        <v>0</v>
      </c>
    </row>
    <row r="37">
      <c r="A37" s="167" t="s">
        <v>87</v>
      </c>
      <c r="B37" s="168"/>
      <c r="C37" s="169">
        <f t="shared" ref="C37:CK37" si="6">C35+C36</f>
        <v>11</v>
      </c>
      <c r="D37" s="169">
        <f t="shared" si="6"/>
        <v>11</v>
      </c>
      <c r="E37" s="169">
        <f t="shared" si="6"/>
        <v>9</v>
      </c>
      <c r="F37" s="169">
        <f t="shared" si="6"/>
        <v>5</v>
      </c>
      <c r="G37" s="169">
        <f t="shared" si="6"/>
        <v>9</v>
      </c>
      <c r="H37" s="169">
        <f t="shared" si="6"/>
        <v>11</v>
      </c>
      <c r="I37" s="169">
        <f t="shared" si="6"/>
        <v>7</v>
      </c>
      <c r="J37" s="169">
        <f t="shared" si="6"/>
        <v>7</v>
      </c>
      <c r="K37" s="169">
        <f t="shared" si="6"/>
        <v>5</v>
      </c>
      <c r="L37" s="169">
        <f t="shared" si="6"/>
        <v>9</v>
      </c>
      <c r="M37" s="169">
        <f t="shared" si="6"/>
        <v>5</v>
      </c>
      <c r="N37" s="169">
        <f t="shared" si="6"/>
        <v>9</v>
      </c>
      <c r="O37" s="169">
        <f t="shared" si="6"/>
        <v>11</v>
      </c>
      <c r="P37" s="169">
        <f t="shared" si="6"/>
        <v>7</v>
      </c>
      <c r="Q37" s="169">
        <f t="shared" si="6"/>
        <v>5</v>
      </c>
      <c r="R37" s="169">
        <f t="shared" si="6"/>
        <v>9</v>
      </c>
      <c r="S37" s="169">
        <f t="shared" si="6"/>
        <v>5</v>
      </c>
      <c r="T37" s="169">
        <f t="shared" si="6"/>
        <v>7</v>
      </c>
      <c r="U37" s="169">
        <f t="shared" si="6"/>
        <v>7</v>
      </c>
      <c r="V37" s="169">
        <f t="shared" si="6"/>
        <v>9</v>
      </c>
      <c r="W37" s="169">
        <f t="shared" si="6"/>
        <v>9</v>
      </c>
      <c r="X37" s="169">
        <f t="shared" si="6"/>
        <v>1</v>
      </c>
      <c r="Y37" s="169">
        <f t="shared" si="6"/>
        <v>9</v>
      </c>
      <c r="Z37" s="169">
        <f t="shared" si="6"/>
        <v>9</v>
      </c>
      <c r="AA37" s="169">
        <f t="shared" si="6"/>
        <v>5</v>
      </c>
      <c r="AB37" s="169">
        <f t="shared" si="6"/>
        <v>7</v>
      </c>
      <c r="AC37" s="169">
        <f t="shared" si="6"/>
        <v>7</v>
      </c>
      <c r="AD37" s="169">
        <f t="shared" si="6"/>
        <v>5</v>
      </c>
      <c r="AE37" s="169">
        <f t="shared" si="6"/>
        <v>3</v>
      </c>
      <c r="AF37" s="169">
        <f t="shared" si="6"/>
        <v>7</v>
      </c>
      <c r="AG37" s="169">
        <f t="shared" si="6"/>
        <v>7</v>
      </c>
      <c r="AH37" s="169">
        <f t="shared" si="6"/>
        <v>11</v>
      </c>
      <c r="AI37" s="169">
        <f t="shared" si="6"/>
        <v>9</v>
      </c>
      <c r="AJ37" s="169">
        <f t="shared" si="6"/>
        <v>7</v>
      </c>
      <c r="AK37" s="169">
        <f t="shared" si="6"/>
        <v>7</v>
      </c>
      <c r="AL37" s="169">
        <f t="shared" si="6"/>
        <v>7</v>
      </c>
      <c r="AM37" s="169">
        <f t="shared" si="6"/>
        <v>7</v>
      </c>
      <c r="AN37" s="169">
        <f t="shared" si="6"/>
        <v>7</v>
      </c>
      <c r="AO37" s="169">
        <f t="shared" si="6"/>
        <v>5</v>
      </c>
      <c r="AP37" s="169">
        <f t="shared" si="6"/>
        <v>9</v>
      </c>
      <c r="AQ37" s="169">
        <f t="shared" si="6"/>
        <v>9</v>
      </c>
      <c r="AR37" s="169">
        <f t="shared" si="6"/>
        <v>5</v>
      </c>
      <c r="AS37" s="169">
        <f t="shared" si="6"/>
        <v>9</v>
      </c>
      <c r="AT37" s="169">
        <f t="shared" si="6"/>
        <v>1</v>
      </c>
      <c r="AU37" s="169">
        <f t="shared" si="6"/>
        <v>3</v>
      </c>
      <c r="AV37" s="169">
        <f t="shared" si="6"/>
        <v>9</v>
      </c>
      <c r="AW37" s="169">
        <f t="shared" si="6"/>
        <v>7</v>
      </c>
      <c r="AX37" s="169">
        <f t="shared" si="6"/>
        <v>11</v>
      </c>
      <c r="AY37" s="169">
        <f t="shared" si="6"/>
        <v>9</v>
      </c>
      <c r="AZ37" s="169">
        <f t="shared" si="6"/>
        <v>3</v>
      </c>
      <c r="BA37" s="169">
        <f t="shared" si="6"/>
        <v>3</v>
      </c>
      <c r="BB37" s="169">
        <f t="shared" si="6"/>
        <v>7</v>
      </c>
      <c r="BC37" s="169">
        <f t="shared" si="6"/>
        <v>7</v>
      </c>
      <c r="BD37" s="169">
        <f t="shared" si="6"/>
        <v>7</v>
      </c>
      <c r="BE37" s="169">
        <f t="shared" si="6"/>
        <v>5</v>
      </c>
      <c r="BF37" s="169">
        <f t="shared" si="6"/>
        <v>9</v>
      </c>
      <c r="BG37" s="169">
        <f t="shared" si="6"/>
        <v>7</v>
      </c>
      <c r="BH37" s="169">
        <f t="shared" si="6"/>
        <v>7</v>
      </c>
      <c r="BI37" s="169">
        <f t="shared" si="6"/>
        <v>9</v>
      </c>
      <c r="BJ37" s="169">
        <f t="shared" si="6"/>
        <v>7</v>
      </c>
      <c r="BK37" s="169">
        <f t="shared" si="6"/>
        <v>9</v>
      </c>
      <c r="BL37" s="169">
        <f t="shared" si="6"/>
        <v>3</v>
      </c>
      <c r="BM37" s="169">
        <f t="shared" si="6"/>
        <v>7</v>
      </c>
      <c r="BN37" s="169">
        <f t="shared" si="6"/>
        <v>3</v>
      </c>
      <c r="BO37" s="169">
        <f t="shared" si="6"/>
        <v>3</v>
      </c>
      <c r="BP37" s="169">
        <f t="shared" si="6"/>
        <v>5</v>
      </c>
      <c r="BQ37" s="169">
        <f t="shared" si="6"/>
        <v>5</v>
      </c>
      <c r="BR37" s="169">
        <f t="shared" si="6"/>
        <v>7</v>
      </c>
      <c r="BS37" s="169">
        <f t="shared" si="6"/>
        <v>3</v>
      </c>
      <c r="BT37" s="169">
        <f t="shared" si="6"/>
        <v>3</v>
      </c>
      <c r="BU37" s="169">
        <f t="shared" si="6"/>
        <v>5</v>
      </c>
      <c r="BV37" s="169">
        <f t="shared" si="6"/>
        <v>9</v>
      </c>
      <c r="BW37" s="169">
        <f t="shared" si="6"/>
        <v>1</v>
      </c>
      <c r="BX37" s="169">
        <f t="shared" si="6"/>
        <v>11</v>
      </c>
      <c r="BY37" s="169">
        <f t="shared" si="6"/>
        <v>7</v>
      </c>
      <c r="BZ37" s="169">
        <f t="shared" si="6"/>
        <v>7</v>
      </c>
      <c r="CA37" s="169">
        <f t="shared" si="6"/>
        <v>3</v>
      </c>
      <c r="CB37" s="169">
        <f t="shared" si="6"/>
        <v>3</v>
      </c>
      <c r="CC37" s="169">
        <f t="shared" si="6"/>
        <v>11</v>
      </c>
      <c r="CD37" s="169">
        <f t="shared" si="6"/>
        <v>1</v>
      </c>
      <c r="CE37" s="169">
        <f t="shared" si="6"/>
        <v>11</v>
      </c>
      <c r="CF37" s="169">
        <f t="shared" si="6"/>
        <v>3</v>
      </c>
      <c r="CG37" s="169">
        <f t="shared" si="6"/>
        <v>11</v>
      </c>
      <c r="CH37" s="169">
        <f t="shared" si="6"/>
        <v>5</v>
      </c>
      <c r="CI37" s="169">
        <f t="shared" si="6"/>
        <v>9</v>
      </c>
      <c r="CJ37" s="169">
        <f t="shared" si="6"/>
        <v>0</v>
      </c>
      <c r="CK37" s="170">
        <f t="shared" si="6"/>
        <v>0</v>
      </c>
    </row>
  </sheetData>
  <mergeCells count="2">
    <mergeCell ref="B2:B12"/>
    <mergeCell ref="B23:B34"/>
  </mergeCells>
  <dataValidations>
    <dataValidation type="list" allowBlank="1" showErrorMessage="1" sqref="C3:CK12 C24:CK34">
      <formula1>"SIM,NÃO"</formula1>
    </dataValidation>
  </dataValidations>
  <drawing r:id="rId1"/>
</worksheet>
</file>